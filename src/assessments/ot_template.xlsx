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Assessment Form (Completed by 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sz val="10"/>
    </font>
    <font>
      <name val="Arial"/>
      <i val="1"/>
      <color theme="1"/>
      <sz val="10"/>
    </font>
  </fonts>
  <fills count="6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</fills>
  <borders count="2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1" fillId="2" borderId="12" applyAlignment="1" pivotButton="0" quotePrefix="0" xfId="0">
      <alignment vertical="center" wrapText="1"/>
    </xf>
    <xf numFmtId="0" fontId="2" fillId="0" borderId="12" applyAlignment="1" pivotButton="0" quotePrefix="0" xfId="0">
      <alignment horizontal="center" vertical="center" wrapText="1"/>
    </xf>
    <xf numFmtId="0" fontId="2" fillId="0" borderId="12" applyAlignment="1" pivotButton="0" quotePrefix="0" xfId="0">
      <alignment vertical="center" wrapText="1"/>
    </xf>
    <xf numFmtId="0" fontId="2" fillId="0" borderId="16" applyAlignment="1" pivotButton="0" quotePrefix="0" xfId="0">
      <alignment horizontal="center" vertical="center" wrapText="1"/>
    </xf>
    <xf numFmtId="0" fontId="1" fillId="0" borderId="12" applyAlignment="1" pivotButton="0" quotePrefix="0" xfId="0">
      <alignment horizontal="center" vertical="center" wrapText="1"/>
    </xf>
    <xf numFmtId="0" fontId="1" fillId="0" borderId="9" applyAlignment="1" pivotButton="0" quotePrefix="0" xfId="0">
      <alignment vertical="center" wrapText="1"/>
    </xf>
    <xf numFmtId="0" fontId="3" fillId="0" borderId="10" pivotButton="0" quotePrefix="0" xfId="0"/>
    <xf numFmtId="0" fontId="3" fillId="0" borderId="11" pivotButton="0" quotePrefix="0" xfId="0"/>
    <xf numFmtId="0" fontId="1" fillId="0" borderId="9" applyAlignment="1" pivotButton="0" quotePrefix="0" xfId="0">
      <alignment horizontal="center" vertical="center" wrapText="1"/>
    </xf>
    <xf numFmtId="0" fontId="2" fillId="0" borderId="9" applyAlignment="1" pivotButton="0" quotePrefix="0" xfId="0">
      <alignment vertical="center" wrapText="1"/>
    </xf>
    <xf numFmtId="0" fontId="2" fillId="0" borderId="10" applyAlignment="1" pivotButton="0" quotePrefix="0" xfId="0">
      <alignment horizontal="right" vertical="center" wrapText="1"/>
    </xf>
    <xf numFmtId="0" fontId="2" fillId="0" borderId="9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3" pivotButton="0" quotePrefix="0" xfId="0"/>
    <xf numFmtId="0" fontId="2" fillId="0" borderId="13" applyAlignment="1" pivotButton="0" quotePrefix="0" xfId="0">
      <alignment horizontal="right" vertical="center" wrapText="1"/>
    </xf>
    <xf numFmtId="0" fontId="3" fillId="0" borderId="14" pivotButton="0" quotePrefix="0" xfId="0"/>
    <xf numFmtId="0" fontId="3" fillId="0" borderId="15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0" borderId="4" pivotButton="0" quotePrefix="0" xfId="0"/>
    <xf numFmtId="0" fontId="0" fillId="0" borderId="0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2" fillId="2" borderId="9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0" borderId="6" applyAlignment="1" pivotButton="0" quotePrefix="0" xfId="0">
      <alignment vertical="center" wrapText="1"/>
    </xf>
    <xf numFmtId="0" fontId="2" fillId="0" borderId="13" applyAlignment="1" pivotButton="0" quotePrefix="0" xfId="0">
      <alignment vertical="center" wrapText="1"/>
    </xf>
    <xf numFmtId="0" fontId="1" fillId="4" borderId="9" applyAlignment="1" pivotButton="0" quotePrefix="0" xfId="0">
      <alignment vertical="center" wrapText="1"/>
    </xf>
    <xf numFmtId="0" fontId="1" fillId="3" borderId="9" applyAlignment="1" pivotButton="0" quotePrefix="0" xfId="0">
      <alignment vertical="center" wrapText="1"/>
    </xf>
    <xf numFmtId="0" fontId="1" fillId="5" borderId="9" applyAlignment="1" pivotButton="0" quotePrefix="0" xfId="0">
      <alignment vertical="center" wrapText="1"/>
    </xf>
    <xf numFmtId="0" fontId="2" fillId="3" borderId="9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2" borderId="12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1" fillId="0" borderId="16" applyAlignment="1" pivotButton="0" quotePrefix="0" xfId="0">
      <alignment vertical="center" wrapText="1"/>
    </xf>
    <xf numFmtId="0" fontId="1" fillId="0" borderId="20" applyAlignment="1" pivotButton="0" quotePrefix="0" xfId="0">
      <alignment vertical="center" wrapText="1"/>
    </xf>
    <xf numFmtId="0" fontId="1" fillId="0" borderId="21" applyAlignment="1" pivotButton="0" quotePrefix="0" xfId="0">
      <alignment vertical="center" wrapText="1"/>
    </xf>
    <xf numFmtId="0" fontId="1" fillId="0" borderId="12" applyAlignment="1" pivotButton="0" quotePrefix="0" xfId="0">
      <alignment vertical="center" wrapText="1"/>
    </xf>
    <xf numFmtId="0" fontId="1" fillId="0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right" vertical="center" wrapText="1"/>
    </xf>
    <xf numFmtId="0" fontId="0" fillId="0" borderId="14" pivotButton="0" quotePrefix="0" xfId="0"/>
    <xf numFmtId="0" fontId="0" fillId="0" borderId="15" pivotButton="0" quotePrefix="0" xfId="0"/>
    <xf numFmtId="0" fontId="2" fillId="0" borderId="11" applyAlignment="1" pivotButton="0" quotePrefix="0" xfId="0">
      <alignment horizontal="right" vertical="center" wrapText="1"/>
    </xf>
    <xf numFmtId="0" fontId="2" fillId="0" borderId="12" applyAlignment="1" pivotButton="0" quotePrefix="0" xfId="0">
      <alignment horizontal="right" vertical="center" wrapText="1"/>
    </xf>
    <xf numFmtId="0" fontId="2" fillId="0" borderId="17" applyAlignment="1" pivotButton="0" quotePrefix="0" xfId="0">
      <alignment vertical="center" wrapText="1"/>
    </xf>
    <xf numFmtId="0" fontId="2" fillId="3" borderId="12" applyAlignment="1" pivotButton="0" quotePrefix="0" xfId="0">
      <alignment vertical="center" wrapText="1"/>
    </xf>
    <xf numFmtId="0" fontId="1" fillId="4" borderId="12" applyAlignment="1" pivotButton="0" quotePrefix="0" xfId="0">
      <alignment vertical="center" wrapText="1"/>
    </xf>
    <xf numFmtId="0" fontId="1" fillId="3" borderId="12" applyAlignment="1" pivotButton="0" quotePrefix="0" xfId="0">
      <alignment vertical="center" wrapText="1"/>
    </xf>
    <xf numFmtId="0" fontId="1" fillId="5" borderId="12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1015"/>
  <sheetViews>
    <sheetView tabSelected="1" topLeftCell="A135" workbookViewId="0">
      <selection activeCell="K143" sqref="K143"/>
    </sheetView>
  </sheetViews>
  <sheetFormatPr baseColWidth="8" defaultColWidth="12.6328125" defaultRowHeight="15.75" customHeight="1"/>
  <cols>
    <col width="14.453125" customWidth="1" style="23" min="3" max="3"/>
    <col width="19.08984375" customWidth="1" style="23" min="10" max="10"/>
  </cols>
  <sheetData>
    <row r="1" ht="12.5" customHeight="1" s="23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2.5" customHeight="1" s="23">
      <c r="A2" s="1" t="n"/>
      <c r="B2" s="3" t="inlineStr">
        <is>
          <t xml:space="preserve">Assessment Form (Completed by Assessor)
 Comprehensive Clinical Assessment Form </t>
        </is>
      </c>
      <c r="C2" s="38" t="n"/>
      <c r="D2" s="38" t="n"/>
      <c r="E2" s="38" t="n"/>
      <c r="F2" s="38" t="n"/>
      <c r="G2" s="38" t="n"/>
      <c r="H2" s="38" t="n"/>
      <c r="I2" s="39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2.5" customHeight="1" s="23">
      <c r="A3" s="1" t="n"/>
      <c r="B3" s="40" t="n"/>
      <c r="I3" s="4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5" customHeight="1" s="23">
      <c r="A4" s="1" t="n"/>
      <c r="B4" s="40" t="n"/>
      <c r="I4" s="4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2.5" customHeight="1" s="23">
      <c r="A5" s="1" t="n"/>
      <c r="B5" s="42" t="n"/>
      <c r="C5" s="43" t="n"/>
      <c r="D5" s="43" t="n"/>
      <c r="E5" s="43" t="n"/>
      <c r="F5" s="43" t="n"/>
      <c r="G5" s="43" t="n"/>
      <c r="H5" s="43" t="n"/>
      <c r="I5" s="44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2.5" customHeight="1" s="23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.5" customHeight="1" s="23">
      <c r="A7" s="1" t="n"/>
      <c r="B7" s="45" t="inlineStr">
        <is>
          <t>DATA KLIEN</t>
        </is>
      </c>
      <c r="C7" s="46" t="n"/>
      <c r="D7" s="46" t="n"/>
      <c r="E7" s="46" t="n"/>
      <c r="F7" s="46" t="n"/>
      <c r="G7" s="46" t="n"/>
      <c r="H7" s="46" t="n"/>
      <c r="I7" s="47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5" customHeight="1" s="23">
      <c r="A8" s="1" t="n"/>
      <c r="B8" s="2" t="inlineStr">
        <is>
          <t>Nama anak</t>
        </is>
      </c>
      <c r="C8" s="48" t="n"/>
      <c r="D8" s="38" t="n"/>
      <c r="E8" s="38" t="n"/>
      <c r="F8" s="38" t="n"/>
      <c r="G8" s="38" t="n"/>
      <c r="H8" s="38" t="n"/>
      <c r="I8" s="39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5" customHeight="1" s="23">
      <c r="A9" s="1" t="n"/>
      <c r="B9" s="2" t="inlineStr">
        <is>
          <t>Usia</t>
        </is>
      </c>
      <c r="C9" s="49" t="n"/>
      <c r="I9" s="4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5" customHeight="1" s="23">
      <c r="A10" s="1" t="n"/>
      <c r="B10" s="2" t="inlineStr">
        <is>
          <t>Tanggal lahir</t>
        </is>
      </c>
      <c r="C10" s="49" t="n"/>
      <c r="I10" s="4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5" customHeight="1" s="23">
      <c r="A11" s="1" t="n"/>
      <c r="B11" s="2" t="inlineStr">
        <is>
          <t>Jenis kelamin</t>
        </is>
      </c>
      <c r="C11" s="49" t="n"/>
      <c r="I11" s="4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25" customHeight="1" s="23">
      <c r="A12" s="1" t="n"/>
      <c r="B12" s="2" t="inlineStr">
        <is>
          <t>Diagnosis / Alasan rujukan</t>
        </is>
      </c>
      <c r="C12" s="49" t="n"/>
      <c r="I12" s="4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5" customHeight="1" s="23">
      <c r="A13" s="1" t="n"/>
      <c r="B13" s="2" t="inlineStr">
        <is>
          <t>Asesor</t>
        </is>
      </c>
      <c r="C13" s="49" t="n"/>
      <c r="I13" s="4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5" customHeight="1" s="23">
      <c r="A14" s="1" t="n"/>
      <c r="B14" s="2" t="inlineStr">
        <is>
          <t>Tanggal asesmen</t>
        </is>
      </c>
      <c r="C14" s="49" t="n"/>
      <c r="I14" s="4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2.5" customHeight="1" s="23">
      <c r="A15" s="1" t="n"/>
      <c r="B15" s="2" t="inlineStr">
        <is>
          <t>No Client</t>
        </is>
      </c>
      <c r="C15" s="50" t="n"/>
      <c r="D15" s="43" t="n"/>
      <c r="E15" s="43" t="n"/>
      <c r="F15" s="43" t="n"/>
      <c r="G15" s="43" t="n"/>
      <c r="H15" s="43" t="n"/>
      <c r="I15" s="44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2.5" customHeight="1" s="23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2.5" customHeight="1" s="23">
      <c r="A17" s="1" t="n"/>
      <c r="B17" s="3" t="inlineStr">
        <is>
          <t>PETUNJUK ADMINISTRASI
Penilaian pada setiap item berdasarkan hasil observasi langsung, aktivitas terstruktur, dan/atau informasi yang diperoleh dari orang tua atau pengasuh utama mengenai perilaku anak dalam 2–4 minggu terakhir. Beri skor 1–5 sesuai frekuensi kemunculan perilaku yang diamati.</t>
        </is>
      </c>
      <c r="C17" s="38" t="n"/>
      <c r="D17" s="38" t="n"/>
      <c r="E17" s="38" t="n"/>
      <c r="F17" s="38" t="n"/>
      <c r="G17" s="38" t="n"/>
      <c r="H17" s="38" t="n"/>
      <c r="I17" s="3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5" customHeight="1" s="23">
      <c r="A18" s="1" t="n"/>
      <c r="B18" s="40" t="n"/>
      <c r="I18" s="4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.5" customHeight="1" s="23">
      <c r="A19" s="1" t="n"/>
      <c r="B19" s="40" t="n"/>
      <c r="I19" s="4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2.5" customHeight="1" s="23">
      <c r="A20" s="1" t="n"/>
      <c r="B20" s="42" t="n"/>
      <c r="C20" s="43" t="n"/>
      <c r="D20" s="43" t="n"/>
      <c r="E20" s="43" t="n"/>
      <c r="F20" s="43" t="n"/>
      <c r="G20" s="43" t="n"/>
      <c r="H20" s="43" t="n"/>
      <c r="I20" s="44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6" customHeight="1" s="23">
      <c r="A21" s="1" t="n"/>
      <c r="B21" s="1" t="n"/>
      <c r="C21" s="3" t="inlineStr">
        <is>
          <t>1 Selalu</t>
        </is>
      </c>
      <c r="D21" s="3" t="inlineStr">
        <is>
          <t>2 Sering</t>
        </is>
      </c>
      <c r="E21" s="3" t="inlineStr">
        <is>
          <t>3 Kadang</t>
        </is>
      </c>
      <c r="F21" s="3" t="inlineStr">
        <is>
          <t>4 Jarang</t>
        </is>
      </c>
      <c r="G21" s="3" t="inlineStr">
        <is>
          <t>5 Tidak Pernah</t>
        </is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5" customHeight="1" s="23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2.5" customHeight="1" s="23">
      <c r="A23" s="1" t="n"/>
      <c r="B23" s="3" t="inlineStr">
        <is>
          <t>BAGIAN A — ASESMEN PEMROSESAN SENSORIS (Adaptasi SSP)</t>
        </is>
      </c>
      <c r="C23" s="38" t="n"/>
      <c r="D23" s="38" t="n"/>
      <c r="E23" s="38" t="n"/>
      <c r="F23" s="38" t="n"/>
      <c r="G23" s="38" t="n"/>
      <c r="H23" s="38" t="n"/>
      <c r="I23" s="39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5" customHeight="1" s="23">
      <c r="A24" s="1" t="n"/>
      <c r="B24" s="42" t="n"/>
      <c r="C24" s="43" t="n"/>
      <c r="D24" s="43" t="n"/>
      <c r="E24" s="43" t="n"/>
      <c r="F24" s="43" t="n"/>
      <c r="G24" s="43" t="n"/>
      <c r="H24" s="43" t="n"/>
      <c r="I24" s="44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.5" customHeight="1" s="23">
      <c r="A25" s="1" t="n"/>
      <c r="B25" s="4" t="inlineStr">
        <is>
          <t>Tactile Sensitivity</t>
        </is>
      </c>
      <c r="C25" s="46" t="n"/>
      <c r="D25" s="46" t="n"/>
      <c r="E25" s="47" t="n"/>
      <c r="F25" s="51" t="inlineStr">
        <is>
          <t>Skor:/ 35</t>
        </is>
      </c>
      <c r="G25" s="46" t="n"/>
      <c r="H25" s="46" t="n"/>
      <c r="I25" s="47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3" customHeight="1" s="23">
      <c r="A26" s="1" t="n"/>
      <c r="B26" s="3" t="inlineStr">
        <is>
          <t>No</t>
        </is>
      </c>
      <c r="C26" s="4" t="inlineStr">
        <is>
          <t>Indikator Klinis</t>
        </is>
      </c>
      <c r="D26" s="46" t="n"/>
      <c r="E26" s="46" t="n"/>
      <c r="F26" s="47" t="n"/>
      <c r="G26" s="3" t="inlineStr">
        <is>
          <t>Skor</t>
        </is>
      </c>
      <c r="H26" s="46" t="n"/>
      <c r="I26" s="47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30" customHeight="1" s="23">
      <c r="A27" s="1" t="n"/>
      <c r="B27" s="3" t="inlineStr">
        <is>
          <t>1.</t>
        </is>
      </c>
      <c r="C27" s="51" t="inlineStr">
        <is>
          <t>Menunjukkan defensivitas taktil terhadap atribut pakaian (label, jahitan, material tekstil tertentu)</t>
        </is>
      </c>
      <c r="D27" s="46" t="n"/>
      <c r="E27" s="46" t="n"/>
      <c r="F27" s="47" t="n"/>
      <c r="G27" s="6" t="n"/>
      <c r="H27" s="46" t="n"/>
      <c r="I27" s="47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30" customHeight="1" s="23">
      <c r="A28" s="1" t="n"/>
      <c r="B28" s="3" t="inlineStr">
        <is>
          <t>2.</t>
        </is>
      </c>
      <c r="C28" s="51" t="inlineStr">
        <is>
          <t>Menghindari atau menolak kontak fisik yang diinisiasi orang lain</t>
        </is>
      </c>
      <c r="D28" s="46" t="n"/>
      <c r="E28" s="46" t="n"/>
      <c r="F28" s="47" t="n"/>
      <c r="G28" s="6" t="n"/>
      <c r="H28" s="46" t="n"/>
      <c r="I28" s="47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30" customHeight="1" s="23">
      <c r="A29" s="1" t="n"/>
      <c r="B29" s="3" t="inlineStr">
        <is>
          <t>3.</t>
        </is>
      </c>
      <c r="C29" s="51" t="inlineStr">
        <is>
          <t>Menolak berjalan tanpa alas kaki pada permukaan tertentu (pasir, rumput, karpet bertekstur)</t>
        </is>
      </c>
      <c r="D29" s="46" t="n"/>
      <c r="E29" s="46" t="n"/>
      <c r="F29" s="47" t="n"/>
      <c r="G29" s="6" t="n"/>
      <c r="H29" s="46" t="n"/>
      <c r="I29" s="47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30" customHeight="1" s="23">
      <c r="A30" s="1" t="n"/>
      <c r="B30" s="3" t="inlineStr">
        <is>
          <t>4.</t>
        </is>
      </c>
      <c r="C30" s="51" t="inlineStr">
        <is>
          <t>Menunjukkan hipersensitivitas taktil pada area wajah dan kepala</t>
        </is>
      </c>
      <c r="D30" s="46" t="n"/>
      <c r="E30" s="46" t="n"/>
      <c r="F30" s="47" t="n"/>
      <c r="G30" s="6" t="n"/>
      <c r="H30" s="46" t="n"/>
      <c r="I30" s="47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30" customHeight="1" s="23">
      <c r="A31" s="1" t="n"/>
      <c r="B31" s="3" t="inlineStr">
        <is>
          <t>5.</t>
        </is>
      </c>
      <c r="C31" s="51" t="inlineStr">
        <is>
          <t>Bereaksi berlebihan (startle response) terhadap stimulasi taktil ringan yang tidak diantisipasi</t>
        </is>
      </c>
      <c r="D31" s="46" t="n"/>
      <c r="E31" s="46" t="n"/>
      <c r="F31" s="47" t="n"/>
      <c r="G31" s="6" t="n"/>
      <c r="H31" s="46" t="n"/>
      <c r="I31" s="47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30" customHeight="1" s="23">
      <c r="A32" s="1" t="n"/>
      <c r="B32" s="3" t="inlineStr">
        <is>
          <t>6.</t>
        </is>
      </c>
      <c r="C32" s="51" t="inlineStr">
        <is>
          <t>Menghindari kontak dengan material messy (cat, tanah, lem, pasir basah)</t>
        </is>
      </c>
      <c r="D32" s="46" t="n"/>
      <c r="E32" s="46" t="n"/>
      <c r="F32" s="47" t="n"/>
      <c r="G32" s="6" t="n"/>
      <c r="H32" s="46" t="n"/>
      <c r="I32" s="47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30" customHeight="1" s="23">
      <c r="A33" s="1" t="n"/>
      <c r="B33" s="3" t="inlineStr">
        <is>
          <t>7.</t>
        </is>
      </c>
      <c r="C33" s="51" t="inlineStr">
        <is>
          <t>Menunjukkan ketidaknyamanan terhadap pakaian baru atau yang baru dicuci</t>
        </is>
      </c>
      <c r="D33" s="46" t="n"/>
      <c r="E33" s="46" t="n"/>
      <c r="F33" s="47" t="n"/>
      <c r="G33" s="52" t="n"/>
      <c r="H33" s="38" t="n"/>
      <c r="I33" s="39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5" customHeight="1" s="23">
      <c r="A34" s="1" t="n"/>
      <c r="B34" s="11" t="inlineStr">
        <is>
          <t xml:space="preserve">Catatan klinis: </t>
        </is>
      </c>
      <c r="C34" s="46" t="n"/>
      <c r="D34" s="46" t="n"/>
      <c r="E34" s="46" t="n"/>
      <c r="F34" s="46" t="n"/>
      <c r="G34" s="53">
        <f>SUM(G27:I33)</f>
        <v/>
      </c>
      <c r="H34" s="54" t="n"/>
      <c r="I34" s="55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5" customHeight="1" s="2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5" customHeight="1" s="2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5" customHeight="1" s="23">
      <c r="A37" s="1" t="n"/>
      <c r="B37" s="4" t="inlineStr">
        <is>
          <t>Taste/Smell Sensitivity</t>
        </is>
      </c>
      <c r="C37" s="46" t="n"/>
      <c r="D37" s="46" t="n"/>
      <c r="E37" s="47" t="n"/>
      <c r="F37" s="51" t="inlineStr">
        <is>
          <t>Skor : / 20</t>
        </is>
      </c>
      <c r="G37" s="46" t="n"/>
      <c r="H37" s="46" t="n"/>
      <c r="I37" s="47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" customHeight="1" s="23">
      <c r="A38" s="1" t="n"/>
      <c r="B38" s="3" t="inlineStr">
        <is>
          <t>No</t>
        </is>
      </c>
      <c r="C38" s="4" t="inlineStr">
        <is>
          <t>Indikator Klinis</t>
        </is>
      </c>
      <c r="D38" s="46" t="n"/>
      <c r="E38" s="46" t="n"/>
      <c r="F38" s="47" t="n"/>
      <c r="G38" s="3" t="inlineStr">
        <is>
          <t>Skor</t>
        </is>
      </c>
      <c r="H38" s="46" t="n"/>
      <c r="I38" s="47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30" customHeight="1" s="23">
      <c r="A39" s="1" t="n"/>
      <c r="B39" s="3" t="inlineStr">
        <is>
          <t>1.</t>
        </is>
      </c>
      <c r="C39" s="51" t="inlineStr">
        <is>
          <t>Menunjukkan penolakan terhadap makanan berdasarkan karakteristik olfaktori</t>
        </is>
      </c>
      <c r="D39" s="46" t="n"/>
      <c r="E39" s="46" t="n"/>
      <c r="F39" s="47" t="n"/>
      <c r="G39" s="6" t="n"/>
      <c r="H39" s="46" t="n"/>
      <c r="I39" s="47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30" customHeight="1" s="23">
      <c r="A40" s="1" t="n"/>
      <c r="B40" s="3" t="inlineStr">
        <is>
          <t>2.</t>
        </is>
      </c>
      <c r="C40" s="51" t="inlineStr">
        <is>
          <t>Menunjukkan hipersensitivitas terhadap stimulus olfaktori lingkungan</t>
        </is>
      </c>
      <c r="D40" s="46" t="n"/>
      <c r="E40" s="46" t="n"/>
      <c r="F40" s="47" t="n"/>
      <c r="G40" s="6" t="n"/>
      <c r="H40" s="46" t="n"/>
      <c r="I40" s="47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30" customHeight="1" s="23">
      <c r="A41" s="1" t="n"/>
      <c r="B41" s="3" t="inlineStr">
        <is>
          <t>3.</t>
        </is>
      </c>
      <c r="C41" s="51" t="inlineStr">
        <is>
          <t>Menghindari makanan dengan karakteristik gustatori tertentu (rasa kuat, menyengat)</t>
        </is>
      </c>
      <c r="D41" s="46" t="n"/>
      <c r="E41" s="46" t="n"/>
      <c r="F41" s="47" t="n"/>
      <c r="G41" s="6" t="n"/>
      <c r="H41" s="46" t="n"/>
      <c r="I41" s="47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30" customHeight="1" s="23">
      <c r="A42" s="1" t="n"/>
      <c r="B42" s="3" t="inlineStr">
        <is>
          <t>4.</t>
        </is>
      </c>
      <c r="C42" s="51" t="inlineStr">
        <is>
          <t>Menunjukkan perilaku mengendus objek sebelum interaksi (mouthing atau sniffing behavior)</t>
        </is>
      </c>
      <c r="D42" s="46" t="n"/>
      <c r="E42" s="46" t="n"/>
      <c r="F42" s="47" t="n"/>
      <c r="G42" s="6" t="n"/>
      <c r="H42" s="46" t="n"/>
      <c r="I42" s="47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5" customHeight="1" s="23">
      <c r="A43" s="1" t="n"/>
      <c r="B43" s="4" t="inlineStr">
        <is>
          <t>Catatan klinis:</t>
        </is>
      </c>
      <c r="C43" s="46" t="n"/>
      <c r="D43" s="46" t="n"/>
      <c r="E43" s="46" t="n"/>
      <c r="F43" s="47" t="n"/>
      <c r="G43" s="56">
        <f>SUM(G39:I42)</f>
        <v/>
      </c>
      <c r="H43" s="46" t="n"/>
      <c r="I43" s="47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5" customHeight="1" s="2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5" customHeight="1" s="2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5" customHeight="1" s="23">
      <c r="A46" s="1" t="n"/>
      <c r="B46" s="4" t="inlineStr">
        <is>
          <t>Vestibular/Movement Sensitivity</t>
        </is>
      </c>
      <c r="C46" s="46" t="n"/>
      <c r="D46" s="46" t="n"/>
      <c r="E46" s="47" t="n"/>
      <c r="F46" s="51" t="inlineStr">
        <is>
          <t>Skor :  / 15</t>
        </is>
      </c>
      <c r="G46" s="46" t="n"/>
      <c r="H46" s="46" t="n"/>
      <c r="I46" s="47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3" customHeight="1" s="23">
      <c r="A47" s="1" t="n"/>
      <c r="B47" s="3" t="inlineStr">
        <is>
          <t>No</t>
        </is>
      </c>
      <c r="C47" s="4" t="inlineStr">
        <is>
          <t>Indikator Klinis</t>
        </is>
      </c>
      <c r="D47" s="46" t="n"/>
      <c r="E47" s="46" t="n"/>
      <c r="F47" s="47" t="n"/>
      <c r="G47" s="3" t="inlineStr">
        <is>
          <t>Skor</t>
        </is>
      </c>
      <c r="H47" s="46" t="n"/>
      <c r="I47" s="47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3" customHeight="1" s="23">
      <c r="A48" s="1" t="n"/>
      <c r="B48" s="3" t="inlineStr">
        <is>
          <t>1.</t>
        </is>
      </c>
      <c r="C48" s="51" t="inlineStr">
        <is>
          <t>Menunjukkan gravitational insecurity atau intoleransi terhadap aktivitas yang melibatkan input vestibular</t>
        </is>
      </c>
      <c r="D48" s="46" t="n"/>
      <c r="E48" s="46" t="n"/>
      <c r="F48" s="47" t="n"/>
      <c r="G48" s="6" t="n"/>
      <c r="H48" s="46" t="n"/>
      <c r="I48" s="47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3" customHeight="1" s="23">
      <c r="A49" s="1" t="n"/>
      <c r="B49" s="3" t="inlineStr">
        <is>
          <t>2.</t>
        </is>
      </c>
      <c r="C49" s="51" t="inlineStr">
        <is>
          <t>Menunjukkan motion sickness atau hipersensitivitas terhadap stimulasi vestibular pasif</t>
        </is>
      </c>
      <c r="D49" s="46" t="n"/>
      <c r="E49" s="46" t="n"/>
      <c r="F49" s="47" t="n"/>
      <c r="G49" s="6" t="n"/>
      <c r="H49" s="46" t="n"/>
      <c r="I49" s="47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3" customHeight="1" s="23">
      <c r="A50" s="1" t="n"/>
      <c r="B50" s="3" t="inlineStr">
        <is>
          <t>3.</t>
        </is>
      </c>
      <c r="C50" s="51" t="inlineStr">
        <is>
          <t>Menunjukkan fear response berlebihan terhadap perubahan posisi kepala atau ketinggian</t>
        </is>
      </c>
      <c r="D50" s="46" t="n"/>
      <c r="E50" s="46" t="n"/>
      <c r="F50" s="47" t="n"/>
      <c r="G50" s="6" t="n"/>
      <c r="H50" s="46" t="n"/>
      <c r="I50" s="47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5" customHeight="1" s="23">
      <c r="A51" s="1" t="n"/>
      <c r="B51" s="4" t="inlineStr">
        <is>
          <t>Catatan klinis:</t>
        </is>
      </c>
      <c r="C51" s="46" t="n"/>
      <c r="D51" s="46" t="n"/>
      <c r="E51" s="46" t="n"/>
      <c r="F51" s="47" t="n"/>
      <c r="G51" s="57">
        <f>SUM(G48:G50)</f>
        <v/>
      </c>
      <c r="H51" s="46" t="n"/>
      <c r="I51" s="47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5" customHeight="1" s="2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2.5" customHeight="1" s="2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2.5" customHeight="1" s="23">
      <c r="A54" s="1" t="n"/>
      <c r="B54" s="4" t="inlineStr">
        <is>
          <t>Underresponsive / Seeks Sensation</t>
        </is>
      </c>
      <c r="C54" s="46" t="n"/>
      <c r="D54" s="46" t="n"/>
      <c r="E54" s="47" t="n"/>
      <c r="F54" s="51" t="inlineStr">
        <is>
          <t>Skor :  / 35</t>
        </is>
      </c>
      <c r="G54" s="46" t="n"/>
      <c r="H54" s="46" t="n"/>
      <c r="I54" s="47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3" customHeight="1" s="23">
      <c r="A55" s="1" t="n"/>
      <c r="B55" s="3" t="inlineStr">
        <is>
          <t>No</t>
        </is>
      </c>
      <c r="C55" s="4" t="inlineStr">
        <is>
          <t>Indikator Klinis</t>
        </is>
      </c>
      <c r="D55" s="46" t="n"/>
      <c r="E55" s="46" t="n"/>
      <c r="F55" s="47" t="n"/>
      <c r="G55" s="3" t="inlineStr">
        <is>
          <t>Skor</t>
        </is>
      </c>
      <c r="H55" s="46" t="n"/>
      <c r="I55" s="47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3" customHeight="1" s="23">
      <c r="A56" s="1" t="n"/>
      <c r="B56" s="3" t="inlineStr">
        <is>
          <t>1.</t>
        </is>
      </c>
      <c r="C56" s="51" t="inlineStr">
        <is>
          <t>Menunjukkan hiporesponsivitas terhadap stimulus taktil pada area wajah dan tangan</t>
        </is>
      </c>
      <c r="D56" s="46" t="n"/>
      <c r="E56" s="46" t="n"/>
      <c r="F56" s="47" t="n"/>
      <c r="G56" s="6" t="n"/>
      <c r="H56" s="46" t="n"/>
      <c r="I56" s="47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3" customHeight="1" s="23">
      <c r="A57" s="1" t="n"/>
      <c r="B57" s="3" t="inlineStr">
        <is>
          <t>2.</t>
        </is>
      </c>
      <c r="C57" s="51" t="inlineStr">
        <is>
          <t>Menunjukkan ambang nyeri yang tinggi / hiporesponsivitas terhadap stimulus nosiseptif</t>
        </is>
      </c>
      <c r="D57" s="46" t="n"/>
      <c r="E57" s="46" t="n"/>
      <c r="F57" s="47" t="n"/>
      <c r="G57" s="6" t="n"/>
      <c r="H57" s="46" t="n"/>
      <c r="I57" s="47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3" customHeight="1" s="23">
      <c r="A58" s="1" t="n"/>
      <c r="B58" s="3" t="inlineStr">
        <is>
          <t>3.</t>
        </is>
      </c>
      <c r="C58" s="51" t="inlineStr">
        <is>
          <t>Menunjukkan perilaku sensation seeking berulang, mencari input proprioseptif intens secara persisten</t>
        </is>
      </c>
      <c r="D58" s="46" t="n"/>
      <c r="E58" s="46" t="n"/>
      <c r="F58" s="47" t="n"/>
      <c r="G58" s="6" t="n"/>
      <c r="H58" s="46" t="n"/>
      <c r="I58" s="47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3" customHeight="1" s="23">
      <c r="A59" s="1" t="n"/>
      <c r="B59" s="3" t="inlineStr">
        <is>
          <t>4.</t>
        </is>
      </c>
      <c r="C59" s="51" t="inlineStr">
        <is>
          <t>Menunjukkan body awareness yang rendah, sering menabrak orang atau benda di sekitarnya</t>
        </is>
      </c>
      <c r="D59" s="46" t="n"/>
      <c r="E59" s="46" t="n"/>
      <c r="F59" s="47" t="n"/>
      <c r="G59" s="6" t="n"/>
      <c r="H59" s="46" t="n"/>
      <c r="I59" s="47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3" customHeight="1" s="23">
      <c r="A60" s="1" t="n"/>
      <c r="B60" s="3" t="inlineStr">
        <is>
          <t>5.</t>
        </is>
      </c>
      <c r="C60" s="51" t="inlineStr">
        <is>
          <t>Menunjukkan hiporesponsivitas terhadap stimulus suhu lingkungan</t>
        </is>
      </c>
      <c r="D60" s="46" t="n"/>
      <c r="E60" s="46" t="n"/>
      <c r="F60" s="47" t="n"/>
      <c r="G60" s="6" t="n"/>
      <c r="H60" s="46" t="n"/>
      <c r="I60" s="47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3" customHeight="1" s="23">
      <c r="A61" s="1" t="n"/>
      <c r="B61" s="3" t="inlineStr">
        <is>
          <t>6.</t>
        </is>
      </c>
      <c r="C61" s="51" t="inlineStr">
        <is>
          <t>Menunjukkan preferensi terhadap stimulasi sensoris berintensitas tinggi secara konsisten</t>
        </is>
      </c>
      <c r="D61" s="46" t="n"/>
      <c r="E61" s="46" t="n"/>
      <c r="F61" s="47" t="n"/>
      <c r="G61" s="6" t="n"/>
      <c r="H61" s="46" t="n"/>
      <c r="I61" s="47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3" customHeight="1" s="23">
      <c r="A62" s="1" t="n"/>
      <c r="B62" s="3" t="inlineStr">
        <is>
          <t>7.</t>
        </is>
      </c>
      <c r="C62" s="51" t="inlineStr">
        <is>
          <t>Menunjukkan respons yang lambat atau tidak ada terhadap stimulus auditori dan taktil</t>
        </is>
      </c>
      <c r="D62" s="46" t="n"/>
      <c r="E62" s="46" t="n"/>
      <c r="F62" s="47" t="n"/>
      <c r="G62" s="52" t="n"/>
      <c r="H62" s="38" t="n"/>
      <c r="I62" s="39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2.5" customHeight="1" s="23">
      <c r="A63" s="1" t="n"/>
      <c r="B63" s="11" t="inlineStr">
        <is>
          <t>Catatan klinis:</t>
        </is>
      </c>
      <c r="C63" s="46" t="n"/>
      <c r="D63" s="46" t="n"/>
      <c r="E63" s="46" t="n"/>
      <c r="F63" s="46" t="n"/>
      <c r="G63" s="53">
        <f>SUM(G56:I62)</f>
        <v/>
      </c>
      <c r="H63" s="54" t="n"/>
      <c r="I63" s="55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2.5" customHeight="1" s="2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5" customHeight="1" s="2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5" customHeight="1" s="23">
      <c r="A66" s="1" t="n"/>
      <c r="B66" s="4" t="inlineStr">
        <is>
          <t>Auditory Filtering</t>
        </is>
      </c>
      <c r="C66" s="46" t="n"/>
      <c r="D66" s="46" t="n"/>
      <c r="E66" s="47" t="n"/>
      <c r="F66" s="51" t="inlineStr">
        <is>
          <t>Skor: / 35</t>
        </is>
      </c>
      <c r="G66" s="46" t="n"/>
      <c r="H66" s="46" t="n"/>
      <c r="I66" s="47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" customHeight="1" s="23">
      <c r="A67" s="1" t="n"/>
      <c r="B67" s="3" t="inlineStr">
        <is>
          <t>No</t>
        </is>
      </c>
      <c r="C67" s="4" t="inlineStr">
        <is>
          <t>Indikator Klinis</t>
        </is>
      </c>
      <c r="D67" s="3" t="n">
        <v>1</v>
      </c>
      <c r="E67" s="3" t="n">
        <v>2</v>
      </c>
      <c r="F67" s="47" t="n"/>
      <c r="G67" s="3" t="n">
        <v>3</v>
      </c>
      <c r="H67" s="3" t="n">
        <v>4</v>
      </c>
      <c r="I67" s="3" t="n">
        <v>5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" customHeight="1" s="23">
      <c r="A68" s="1" t="n"/>
      <c r="B68" s="3" t="inlineStr">
        <is>
          <t>1.</t>
        </is>
      </c>
      <c r="C68" s="51" t="inlineStr">
        <is>
          <t>Menunjukkan distraksi auditif yang mempengaruhi atensi dan performa fungsional</t>
        </is>
      </c>
      <c r="D68" s="46" t="n"/>
      <c r="E68" s="46" t="n"/>
      <c r="F68" s="47" t="n"/>
      <c r="G68" s="6" t="n"/>
      <c r="H68" s="46" t="n"/>
      <c r="I68" s="47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" customHeight="1" s="23">
      <c r="A69" s="1" t="n"/>
      <c r="B69" s="3" t="inlineStr">
        <is>
          <t>2.</t>
        </is>
      </c>
      <c r="C69" s="51" t="inlineStr">
        <is>
          <t>Mengalami kesulitan memproses instruksi verbal di lingkungan dengan background noise</t>
        </is>
      </c>
      <c r="D69" s="46" t="n"/>
      <c r="E69" s="46" t="n"/>
      <c r="F69" s="47" t="n"/>
      <c r="G69" s="6" t="n"/>
      <c r="H69" s="46" t="n"/>
      <c r="I69" s="47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" customHeight="1" s="23">
      <c r="A70" s="1" t="n"/>
      <c r="B70" s="3" t="inlineStr">
        <is>
          <t>3.</t>
        </is>
      </c>
      <c r="C70" s="51" t="inlineStr">
        <is>
          <t>Menunjukkan defisit auditory figure-ground, sulit memilah stimulus relevan dari noise</t>
        </is>
      </c>
      <c r="D70" s="46" t="n"/>
      <c r="E70" s="46" t="n"/>
      <c r="F70" s="47" t="n"/>
      <c r="G70" s="6" t="n"/>
      <c r="H70" s="46" t="n"/>
      <c r="I70" s="47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" customHeight="1" s="23">
      <c r="A71" s="1" t="n"/>
      <c r="B71" s="3" t="inlineStr">
        <is>
          <t>4.</t>
        </is>
      </c>
      <c r="C71" s="51" t="inlineStr">
        <is>
          <t>Menunjukkan hiporesponsivitas terhadap stimulus auditori verbal / nama dipanggil</t>
        </is>
      </c>
      <c r="D71" s="46" t="n"/>
      <c r="E71" s="46" t="n"/>
      <c r="F71" s="47" t="n"/>
      <c r="G71" s="6" t="n"/>
      <c r="H71" s="46" t="n"/>
      <c r="I71" s="47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" customHeight="1" s="23">
      <c r="A72" s="1" t="n"/>
      <c r="B72" s="3" t="inlineStr">
        <is>
          <t>5.</t>
        </is>
      </c>
      <c r="C72" s="51" t="inlineStr">
        <is>
          <t>Menunjukkan penurunan performa fungsional di lingkungan dengan tingkat kebisingan tinggi</t>
        </is>
      </c>
      <c r="D72" s="46" t="n"/>
      <c r="E72" s="46" t="n"/>
      <c r="F72" s="47" t="n"/>
      <c r="G72" s="6" t="n"/>
      <c r="H72" s="46" t="n"/>
      <c r="I72" s="47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" customHeight="1" s="23">
      <c r="A73" s="1" t="n"/>
      <c r="B73" s="3" t="inlineStr">
        <is>
          <t>6.</t>
        </is>
      </c>
      <c r="C73" s="51" t="inlineStr">
        <is>
          <t>Kesulitan melakukan auditory filtering terhadap stimulus tidak relevan</t>
        </is>
      </c>
      <c r="D73" s="46" t="n"/>
      <c r="E73" s="46" t="n"/>
      <c r="F73" s="47" t="n"/>
      <c r="G73" s="6" t="n"/>
      <c r="H73" s="46" t="n"/>
      <c r="I73" s="47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" customHeight="1" s="23">
      <c r="A74" s="1" t="n"/>
      <c r="B74" s="3" t="inlineStr">
        <is>
          <t>7.</t>
        </is>
      </c>
      <c r="C74" s="51" t="inlineStr">
        <is>
          <t>Sering meminta pengulangan instruksi verbal (echoic memory deficit)</t>
        </is>
      </c>
      <c r="D74" s="46" t="n"/>
      <c r="E74" s="46" t="n"/>
      <c r="F74" s="47" t="n"/>
      <c r="G74" s="6" t="n"/>
      <c r="H74" s="46" t="n"/>
      <c r="I74" s="47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5" customHeight="1" s="23">
      <c r="A75" s="1" t="n"/>
      <c r="B75" s="4" t="inlineStr">
        <is>
          <t>Catatan klinis:</t>
        </is>
      </c>
      <c r="C75" s="46" t="n"/>
      <c r="D75" s="46" t="n"/>
      <c r="E75" s="46" t="n"/>
      <c r="F75" s="47" t="n"/>
      <c r="G75" s="56">
        <f>SUM(G68:I74)</f>
        <v/>
      </c>
      <c r="H75" s="46" t="n"/>
      <c r="I75" s="47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5" customHeight="1" s="2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5" customHeight="1" s="2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5" customHeight="1" s="23">
      <c r="A78" s="1" t="n"/>
      <c r="B78" s="4" t="inlineStr">
        <is>
          <t>S6 Energi Rendah / Hipotonisitas / Low Energy / Weak</t>
        </is>
      </c>
      <c r="C78" s="46" t="n"/>
      <c r="D78" s="46" t="n"/>
      <c r="E78" s="47" t="n"/>
      <c r="F78" s="51" t="inlineStr">
        <is>
          <t>Skor :  / 30</t>
        </is>
      </c>
      <c r="G78" s="46" t="n"/>
      <c r="H78" s="46" t="n"/>
      <c r="I78" s="47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" customHeight="1" s="23">
      <c r="A79" s="1" t="n"/>
      <c r="B79" s="3" t="inlineStr">
        <is>
          <t>No</t>
        </is>
      </c>
      <c r="C79" s="4" t="inlineStr">
        <is>
          <t>Indikator Klinis</t>
        </is>
      </c>
      <c r="D79" s="3" t="n">
        <v>1</v>
      </c>
      <c r="E79" s="3" t="n">
        <v>2</v>
      </c>
      <c r="F79" s="47" t="n"/>
      <c r="G79" s="3" t="n">
        <v>3</v>
      </c>
      <c r="H79" s="3" t="n">
        <v>4</v>
      </c>
      <c r="I79" s="3" t="n">
        <v>5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" customHeight="1" s="23">
      <c r="A80" s="1" t="n"/>
      <c r="B80" s="3" t="inlineStr">
        <is>
          <t>1.</t>
        </is>
      </c>
      <c r="C80" s="51" t="inlineStr">
        <is>
          <t>Menunjukkan hipotonia umum yang berdampak pada aktivitas fungsional sehari-hari</t>
        </is>
      </c>
      <c r="D80" s="46" t="n"/>
      <c r="E80" s="46" t="n"/>
      <c r="F80" s="47" t="n"/>
      <c r="G80" s="6" t="n"/>
      <c r="H80" s="46" t="n"/>
      <c r="I80" s="47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" customHeight="1" s="23">
      <c r="A81" s="1" t="n"/>
      <c r="B81" s="3" t="inlineStr">
        <is>
          <t>2.</t>
        </is>
      </c>
      <c r="C81" s="51" t="inlineStr">
        <is>
          <t>Menunjukkan penurunan daya tahan fisik (endurance) yang signifikan secara fungsional</t>
        </is>
      </c>
      <c r="D81" s="46" t="n"/>
      <c r="E81" s="46" t="n"/>
      <c r="F81" s="47" t="n"/>
      <c r="G81" s="6" t="n"/>
      <c r="H81" s="46" t="n"/>
      <c r="I81" s="47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" customHeight="1" s="23">
      <c r="A82" s="1" t="n"/>
      <c r="B82" s="3" t="inlineStr">
        <is>
          <t>3.</t>
        </is>
      </c>
      <c r="C82" s="51" t="inlineStr">
        <is>
          <t>Memerlukan external support untuk mempertahankan postur duduk tegak</t>
        </is>
      </c>
      <c r="D82" s="46" t="n"/>
      <c r="E82" s="46" t="n"/>
      <c r="F82" s="47" t="n"/>
      <c r="G82" s="6" t="n"/>
      <c r="H82" s="46" t="n"/>
      <c r="I82" s="47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" customHeight="1" s="23">
      <c r="A83" s="1" t="n"/>
      <c r="B83" s="3" t="inlineStr">
        <is>
          <t>4.</t>
        </is>
      </c>
      <c r="C83" s="51" t="inlineStr">
        <is>
          <t>Menunjukkan kompensasi bilateral pada tugas unilateral yang sesuai tahap perkembangan</t>
        </is>
      </c>
      <c r="D83" s="46" t="n"/>
      <c r="E83" s="46" t="n"/>
      <c r="F83" s="47" t="n"/>
      <c r="G83" s="6" t="n"/>
      <c r="H83" s="46" t="n"/>
      <c r="I83" s="47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" customHeight="1" s="23">
      <c r="A84" s="1" t="n"/>
      <c r="B84" s="3" t="inlineStr">
        <is>
          <t>5.</t>
        </is>
      </c>
      <c r="C84" s="51" t="inlineStr">
        <is>
          <t>Menunjukkan kualitas gerakan yang lemah dengan effort berlebihan relatif terhadap tugas</t>
        </is>
      </c>
      <c r="D84" s="46" t="n"/>
      <c r="E84" s="46" t="n"/>
      <c r="F84" s="47" t="n"/>
      <c r="G84" s="6" t="n"/>
      <c r="H84" s="46" t="n"/>
      <c r="I84" s="47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" customHeight="1" s="23">
      <c r="A85" s="1" t="n"/>
      <c r="B85" s="3" t="inlineStr">
        <is>
          <t>6.</t>
        </is>
      </c>
      <c r="C85" s="51" t="inlineStr">
        <is>
          <t>Menunjukkan postural instability yang konsisten saat duduk dan berdiri</t>
        </is>
      </c>
      <c r="D85" s="46" t="n"/>
      <c r="E85" s="46" t="n"/>
      <c r="F85" s="47" t="n"/>
      <c r="G85" s="6" t="n"/>
      <c r="H85" s="46" t="n"/>
      <c r="I85" s="47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5" customHeight="1" s="23">
      <c r="A86" s="1" t="n"/>
      <c r="B86" s="4" t="inlineStr">
        <is>
          <t>Catatan klinis:</t>
        </is>
      </c>
      <c r="C86" s="46" t="n"/>
      <c r="D86" s="46" t="n"/>
      <c r="E86" s="46" t="n"/>
      <c r="F86" s="47" t="n"/>
      <c r="G86" s="56">
        <f>SUM(G80:I85)</f>
        <v/>
      </c>
      <c r="H86" s="46" t="n"/>
      <c r="I86" s="47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5" customHeight="1" s="2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5" customHeight="1" s="2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5" customHeight="1" s="23">
      <c r="A89" s="1" t="n"/>
      <c r="B89" s="4" t="inlineStr">
        <is>
          <t>Visual/Auditory Sensitivity</t>
        </is>
      </c>
      <c r="C89" s="46" t="n"/>
      <c r="D89" s="46" t="n"/>
      <c r="E89" s="47" t="n"/>
      <c r="F89" s="51" t="inlineStr">
        <is>
          <t>Skor :  / 20</t>
        </is>
      </c>
      <c r="G89" s="46" t="n"/>
      <c r="H89" s="46" t="n"/>
      <c r="I89" s="47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" customHeight="1" s="23">
      <c r="A90" s="1" t="n"/>
      <c r="B90" s="3" t="inlineStr">
        <is>
          <t>No</t>
        </is>
      </c>
      <c r="C90" s="4" t="inlineStr">
        <is>
          <t>Indikator Klinis</t>
        </is>
      </c>
      <c r="D90" s="46" t="n"/>
      <c r="E90" s="46" t="n"/>
      <c r="F90" s="47" t="n"/>
      <c r="G90" s="3" t="inlineStr">
        <is>
          <t>Skor</t>
        </is>
      </c>
      <c r="H90" s="46" t="n"/>
      <c r="I90" s="47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" customHeight="1" s="23">
      <c r="A91" s="1" t="n"/>
      <c r="B91" s="3" t="inlineStr">
        <is>
          <t>1.</t>
        </is>
      </c>
      <c r="C91" s="51" t="inlineStr">
        <is>
          <t>Menunjukkan kesulitan fungsional di lingkungan dengan tingkat stimulasi audiovisual tinggi</t>
        </is>
      </c>
      <c r="D91" s="46" t="n"/>
      <c r="E91" s="46" t="n"/>
      <c r="F91" s="47" t="n"/>
      <c r="G91" s="6" t="n"/>
      <c r="H91" s="46" t="n"/>
      <c r="I91" s="47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" customHeight="1" s="23">
      <c r="A92" s="1" t="n"/>
      <c r="B92" s="3" t="inlineStr">
        <is>
          <t>2.</t>
        </is>
      </c>
      <c r="C92" s="51" t="inlineStr">
        <is>
          <t>Menunjukkan fotosensitivitas yang berdampak pada partisipasi dalam aktivitas</t>
        </is>
      </c>
      <c r="D92" s="46" t="n"/>
      <c r="E92" s="46" t="n"/>
      <c r="F92" s="47" t="n"/>
      <c r="G92" s="6" t="n"/>
      <c r="H92" s="46" t="n"/>
      <c r="I92" s="47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" customHeight="1" s="23">
      <c r="A93" s="1" t="n"/>
      <c r="B93" s="3" t="inlineStr">
        <is>
          <t>3.</t>
        </is>
      </c>
      <c r="C93" s="51" t="inlineStr">
        <is>
          <t>Menunjukkan visual overresponsivity terhadap lingkungan yang kaya stimulus visual</t>
        </is>
      </c>
      <c r="D93" s="46" t="n"/>
      <c r="E93" s="46" t="n"/>
      <c r="F93" s="47" t="n"/>
      <c r="G93" s="6" t="n"/>
      <c r="H93" s="46" t="n"/>
      <c r="I93" s="47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" customHeight="1" s="23">
      <c r="A94" s="1" t="n"/>
      <c r="B94" s="3" t="inlineStr">
        <is>
          <t>4.</t>
        </is>
      </c>
      <c r="C94" s="51" t="inlineStr">
        <is>
          <t>Menunjukkan distraksi visual signifikan terhadap gerakan di area periferal</t>
        </is>
      </c>
      <c r="D94" s="46" t="n"/>
      <c r="E94" s="46" t="n"/>
      <c r="F94" s="47" t="n"/>
      <c r="G94" s="6" t="n"/>
      <c r="H94" s="46" t="n"/>
      <c r="I94" s="47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5" customHeight="1" s="23">
      <c r="A95" s="1" t="n"/>
      <c r="B95" s="4" t="inlineStr">
        <is>
          <t>Catatan klinis:</t>
        </is>
      </c>
      <c r="C95" s="46" t="n"/>
      <c r="D95" s="46" t="n"/>
      <c r="E95" s="46" t="n"/>
      <c r="F95" s="47" t="n"/>
      <c r="G95" s="57">
        <f>SUM(G91:I94)</f>
        <v/>
      </c>
      <c r="H95" s="46" t="n"/>
      <c r="I95" s="47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5" customHeight="1" s="2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5" customHeight="1" s="2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5" customHeight="1" s="23">
      <c r="A98" s="1" t="n"/>
      <c r="B98" s="3" t="inlineStr">
        <is>
          <t>BAGIAN B 
 ASESMEN MOTORIK KASAR</t>
        </is>
      </c>
      <c r="C98" s="38" t="n"/>
      <c r="D98" s="38" t="n"/>
      <c r="E98" s="38" t="n"/>
      <c r="F98" s="38" t="n"/>
      <c r="G98" s="38" t="n"/>
      <c r="H98" s="38" t="n"/>
      <c r="I98" s="39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5" customHeight="1" s="23">
      <c r="A99" s="1" t="n"/>
      <c r="B99" s="42" t="n"/>
      <c r="C99" s="43" t="n"/>
      <c r="D99" s="43" t="n"/>
      <c r="E99" s="43" t="n"/>
      <c r="F99" s="43" t="n"/>
      <c r="G99" s="43" t="n"/>
      <c r="H99" s="43" t="n"/>
      <c r="I99" s="44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5" customHeight="1" s="2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5" customHeight="1" s="23">
      <c r="A101" s="1" t="n"/>
      <c r="B101" s="4" t="inlineStr">
        <is>
          <t>Gross Motor Skills</t>
        </is>
      </c>
      <c r="C101" s="46" t="n"/>
      <c r="D101" s="46" t="n"/>
      <c r="E101" s="47" t="n"/>
      <c r="F101" s="51" t="inlineStr">
        <is>
          <t>Skor : / 35</t>
        </is>
      </c>
      <c r="G101" s="46" t="n"/>
      <c r="H101" s="46" t="n"/>
      <c r="I101" s="47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" customHeight="1" s="23">
      <c r="A102" s="1" t="n"/>
      <c r="B102" s="3" t="inlineStr">
        <is>
          <t>No</t>
        </is>
      </c>
      <c r="C102" s="4" t="inlineStr">
        <is>
          <t>Indikator Klinis</t>
        </is>
      </c>
      <c r="D102" s="46" t="n"/>
      <c r="E102" s="46" t="n"/>
      <c r="F102" s="47" t="n"/>
      <c r="G102" s="3" t="inlineStr">
        <is>
          <t>Skor</t>
        </is>
      </c>
      <c r="H102" s="46" t="n"/>
      <c r="I102" s="47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" customHeight="1" s="23">
      <c r="A103" s="1" t="n"/>
      <c r="B103" s="3" t="inlineStr">
        <is>
          <t>1.</t>
        </is>
      </c>
      <c r="C103" s="51" t="inlineStr">
        <is>
          <t>Menunjukkan kesulitan postural control saat duduk atau berdiri tanpa support eksternal</t>
        </is>
      </c>
      <c r="D103" s="46" t="n"/>
      <c r="E103" s="46" t="n"/>
      <c r="F103" s="47" t="n"/>
      <c r="G103" s="6" t="n"/>
      <c r="H103" s="46" t="n"/>
      <c r="I103" s="47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" customHeight="1" s="23">
      <c r="A104" s="1" t="n"/>
      <c r="B104" s="3" t="inlineStr">
        <is>
          <t>2.</t>
        </is>
      </c>
      <c r="C104" s="51" t="inlineStr">
        <is>
          <t>Menunjukkan defisit koordinasi bilateral pada gerakan kasar (jumping jacks, melompat dua kaki)</t>
        </is>
      </c>
      <c r="D104" s="46" t="n"/>
      <c r="E104" s="46" t="n"/>
      <c r="F104" s="47" t="n"/>
      <c r="G104" s="6" t="n"/>
      <c r="H104" s="46" t="n"/>
      <c r="I104" s="47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" customHeight="1" s="23">
      <c r="A105" s="1" t="n"/>
      <c r="B105" s="3" t="inlineStr">
        <is>
          <t>3.</t>
        </is>
      </c>
      <c r="C105" s="51" t="inlineStr">
        <is>
          <t>Menunjukkan kesulitan keseimbangan statis (berdiri satu kaki sesuai usia)</t>
        </is>
      </c>
      <c r="D105" s="46" t="n"/>
      <c r="E105" s="46" t="n"/>
      <c r="F105" s="47" t="n"/>
      <c r="G105" s="6" t="n"/>
      <c r="H105" s="46" t="n"/>
      <c r="I105" s="47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" customHeight="1" s="23">
      <c r="A106" s="1" t="n"/>
      <c r="B106" s="3" t="inlineStr">
        <is>
          <t>4.</t>
        </is>
      </c>
      <c r="C106" s="51" t="inlineStr">
        <is>
          <t>Menunjukkan kesulitan keseimbangan dinamis (berjalan garis lurus, naik-turun tangga bergantian kaki)</t>
        </is>
      </c>
      <c r="D106" s="46" t="n"/>
      <c r="E106" s="46" t="n"/>
      <c r="F106" s="47" t="n"/>
      <c r="G106" s="6" t="n"/>
      <c r="H106" s="46" t="n"/>
      <c r="I106" s="47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" customHeight="1" s="23">
      <c r="A107" s="1" t="n"/>
      <c r="B107" s="3" t="inlineStr">
        <is>
          <t>5.</t>
        </is>
      </c>
      <c r="C107" s="51" t="inlineStr">
        <is>
          <t>Menunjukkan defisit koordinasi mata-tangan-kaki (menendang, menangkap, melempar bola)</t>
        </is>
      </c>
      <c r="D107" s="46" t="n"/>
      <c r="E107" s="46" t="n"/>
      <c r="F107" s="47" t="n"/>
      <c r="G107" s="6" t="n"/>
      <c r="H107" s="46" t="n"/>
      <c r="I107" s="47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" customHeight="1" s="23">
      <c r="A108" s="1" t="n"/>
      <c r="B108" s="3" t="inlineStr">
        <is>
          <t>6.</t>
        </is>
      </c>
      <c r="C108" s="51" t="inlineStr">
        <is>
          <t>Menunjukkan kesulitan motor planning pada gerakan kasar baru (meniru gerakan/urutan)</t>
        </is>
      </c>
      <c r="D108" s="46" t="n"/>
      <c r="E108" s="46" t="n"/>
      <c r="F108" s="47" t="n"/>
      <c r="G108" s="6" t="n"/>
      <c r="H108" s="46" t="n"/>
      <c r="I108" s="47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" customHeight="1" s="23">
      <c r="A109" s="1" t="n"/>
      <c r="B109" s="5" t="inlineStr">
        <is>
          <t>7.</t>
        </is>
      </c>
      <c r="C109" s="48" t="inlineStr">
        <is>
          <t>Menunjukkan kelemahan core strength yang berdampak pada aktivitas fungsional (naik tangga, bangkit dari lantai)</t>
        </is>
      </c>
      <c r="D109" s="38" t="n"/>
      <c r="E109" s="38" t="n"/>
      <c r="F109" s="39" t="n"/>
      <c r="G109" s="6" t="n"/>
      <c r="H109" s="46" t="n"/>
      <c r="I109" s="47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5" customHeight="1" s="23">
      <c r="A110" s="1" t="n"/>
      <c r="B110" s="58" t="inlineStr">
        <is>
          <t>Catatan klinis:</t>
        </is>
      </c>
      <c r="C110" s="54" t="n"/>
      <c r="D110" s="54" t="n"/>
      <c r="E110" s="54" t="n"/>
      <c r="F110" s="55" t="n"/>
      <c r="G110" s="56">
        <f>SUM(G103:I109)</f>
        <v/>
      </c>
      <c r="H110" s="46" t="n"/>
      <c r="I110" s="47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5" customHeight="1" s="2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5" customHeight="1" s="2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5" customHeight="1" s="23">
      <c r="A113" s="1" t="n"/>
      <c r="B113" s="3" t="inlineStr">
        <is>
          <t>BAGIAN C
ASESMEN MOTORIK HALUS</t>
        </is>
      </c>
      <c r="C113" s="46" t="n"/>
      <c r="D113" s="46" t="n"/>
      <c r="E113" s="46" t="n"/>
      <c r="F113" s="46" t="n"/>
      <c r="G113" s="46" t="n"/>
      <c r="H113" s="46" t="n"/>
      <c r="I113" s="47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5" customHeight="1" s="2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5" customHeight="1" s="23">
      <c r="A115" s="1" t="n"/>
      <c r="B115" s="4" t="inlineStr">
        <is>
          <t>Fine Motor Skills</t>
        </is>
      </c>
      <c r="C115" s="46" t="n"/>
      <c r="D115" s="46" t="n"/>
      <c r="E115" s="47" t="n"/>
      <c r="F115" s="51" t="inlineStr">
        <is>
          <t>Skor :   / 35</t>
        </is>
      </c>
      <c r="G115" s="46" t="n"/>
      <c r="H115" s="46" t="n"/>
      <c r="I115" s="47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" customHeight="1" s="23">
      <c r="A116" s="1" t="n"/>
      <c r="B116" s="3" t="inlineStr">
        <is>
          <t>No</t>
        </is>
      </c>
      <c r="C116" s="4" t="inlineStr">
        <is>
          <t>Indikator Klinis</t>
        </is>
      </c>
      <c r="D116" s="46" t="n"/>
      <c r="E116" s="46" t="n"/>
      <c r="F116" s="47" t="n"/>
      <c r="G116" s="3" t="inlineStr">
        <is>
          <t>Skor</t>
        </is>
      </c>
      <c r="H116" s="46" t="n"/>
      <c r="I116" s="47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" customHeight="1" s="23">
      <c r="A117" s="1" t="n"/>
      <c r="B117" s="3" t="inlineStr">
        <is>
          <t>1.</t>
        </is>
      </c>
      <c r="C117" s="51" t="inlineStr">
        <is>
          <t>Menunjukkan grasp pattern pensil yang belum sesuai tahap perkembangan usia</t>
        </is>
      </c>
      <c r="D117" s="46" t="n"/>
      <c r="E117" s="46" t="n"/>
      <c r="F117" s="47" t="n"/>
      <c r="G117" s="6" t="n"/>
      <c r="H117" s="46" t="n"/>
      <c r="I117" s="47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" customHeight="1" s="23">
      <c r="A118" s="1" t="n"/>
      <c r="B118" s="3" t="inlineStr">
        <is>
          <t>2.</t>
        </is>
      </c>
      <c r="C118" s="51" t="inlineStr">
        <is>
          <t>Menunjukkan defisit koordinasi bilateral tangan (memegang kertas sambil menggunting)</t>
        </is>
      </c>
      <c r="D118" s="46" t="n"/>
      <c r="E118" s="46" t="n"/>
      <c r="F118" s="47" t="n"/>
      <c r="G118" s="6" t="n"/>
      <c r="H118" s="46" t="n"/>
      <c r="I118" s="47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" customHeight="1" s="23">
      <c r="A119" s="1" t="n"/>
      <c r="B119" s="3" t="inlineStr">
        <is>
          <t>3.</t>
        </is>
      </c>
      <c r="C119" s="51" t="inlineStr">
        <is>
          <t>Menunjukkan kesulitan in-hand manipulation (meronce, memutar objek kecil di tangan)</t>
        </is>
      </c>
      <c r="D119" s="46" t="n"/>
      <c r="E119" s="46" t="n"/>
      <c r="F119" s="47" t="n"/>
      <c r="G119" s="6" t="n"/>
      <c r="H119" s="46" t="n"/>
      <c r="I119" s="47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" customHeight="1" s="23">
      <c r="A120" s="1" t="n"/>
      <c r="B120" s="3" t="inlineStr">
        <is>
          <t>4.</t>
        </is>
      </c>
      <c r="C120" s="51" t="inlineStr">
        <is>
          <t>Menunjukkan kekuatan genggaman (grip strength) yang lemah secara fungsional</t>
        </is>
      </c>
      <c r="D120" s="46" t="n"/>
      <c r="E120" s="46" t="n"/>
      <c r="F120" s="47" t="n"/>
      <c r="G120" s="6" t="n"/>
      <c r="H120" s="46" t="n"/>
      <c r="I120" s="47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" customHeight="1" s="23">
      <c r="A121" s="1" t="n"/>
      <c r="B121" s="3" t="inlineStr">
        <is>
          <t>5.</t>
        </is>
      </c>
      <c r="C121" s="51" t="inlineStr">
        <is>
          <t>Menunjukkan ketepatan visual-motor yang rendah (mewarnai dalam garis, menyusun puzzle)</t>
        </is>
      </c>
      <c r="D121" s="46" t="n"/>
      <c r="E121" s="46" t="n"/>
      <c r="F121" s="47" t="n"/>
      <c r="G121" s="6" t="n"/>
      <c r="H121" s="46" t="n"/>
      <c r="I121" s="47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" customHeight="1" s="23">
      <c r="A122" s="1" t="n"/>
      <c r="B122" s="3" t="inlineStr">
        <is>
          <t>6.</t>
        </is>
      </c>
      <c r="C122" s="51" t="inlineStr">
        <is>
          <t>Menunjukkan kontrol tekanan alat tulis yang tidak sesuai (terlalu kuat/terlalu lemah)</t>
        </is>
      </c>
      <c r="D122" s="46" t="n"/>
      <c r="E122" s="46" t="n"/>
      <c r="F122" s="47" t="n"/>
      <c r="G122" s="6" t="n"/>
      <c r="H122" s="46" t="n"/>
      <c r="I122" s="47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" customHeight="1" s="23">
      <c r="A123" s="1" t="n"/>
      <c r="B123" s="3" t="inlineStr">
        <is>
          <t>7.</t>
        </is>
      </c>
      <c r="C123" s="51" t="inlineStr">
        <is>
          <t>Menunjukkan kesulitan pada self-care fine motor (mengancingkan baju, menalikan sepatu, menggunakan sendok-garpu)</t>
        </is>
      </c>
      <c r="D123" s="46" t="n"/>
      <c r="E123" s="46" t="n"/>
      <c r="F123" s="47" t="n"/>
      <c r="G123" s="6" t="n"/>
      <c r="H123" s="46" t="n"/>
      <c r="I123" s="47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5" customHeight="1" s="23">
      <c r="A124" s="1" t="n"/>
      <c r="B124" s="11" t="inlineStr">
        <is>
          <t>Catatan klinis:</t>
        </is>
      </c>
      <c r="C124" s="46" t="n"/>
      <c r="D124" s="46" t="n"/>
      <c r="E124" s="46" t="n"/>
      <c r="F124" s="46" t="n"/>
      <c r="G124" s="57">
        <f>SUM(G117:I123)</f>
        <v/>
      </c>
      <c r="H124" s="46" t="n"/>
      <c r="I124" s="47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5" customHeight="1" s="2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5" customHeight="1" s="2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5" customHeight="1" s="23">
      <c r="A127" s="1" t="n"/>
      <c r="B127" s="3" t="inlineStr">
        <is>
          <t>BAGIAN D
LEVEL AROUSAL &amp; REGULASI DIRI</t>
        </is>
      </c>
      <c r="C127" s="46" t="n"/>
      <c r="D127" s="46" t="n"/>
      <c r="E127" s="46" t="n"/>
      <c r="F127" s="46" t="n"/>
      <c r="G127" s="46" t="n"/>
      <c r="H127" s="46" t="n"/>
      <c r="I127" s="47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5" customHeight="1" s="2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5" customHeight="1" s="23">
      <c r="A129" s="1" t="n"/>
      <c r="B129" s="59" t="inlineStr">
        <is>
          <t>Arousal Level &amp; Self-Regulation</t>
        </is>
      </c>
      <c r="C129" s="46" t="n"/>
      <c r="D129" s="46" t="n"/>
      <c r="E129" s="47" t="n"/>
      <c r="F129" s="51" t="inlineStr">
        <is>
          <t>Skor :  / 35</t>
        </is>
      </c>
      <c r="G129" s="46" t="n"/>
      <c r="H129" s="46" t="n"/>
      <c r="I129" s="47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" customHeight="1" s="23">
      <c r="A130" s="1" t="n"/>
      <c r="B130" s="3" t="inlineStr">
        <is>
          <t>No</t>
        </is>
      </c>
      <c r="C130" s="4" t="inlineStr">
        <is>
          <t>Indikator Klinis</t>
        </is>
      </c>
      <c r="D130" s="46" t="n"/>
      <c r="E130" s="46" t="n"/>
      <c r="F130" s="47" t="n"/>
      <c r="G130" s="3" t="inlineStr">
        <is>
          <t>Skor</t>
        </is>
      </c>
      <c r="H130" s="46" t="n"/>
      <c r="I130" s="47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" customHeight="1" s="23">
      <c r="A131" s="1" t="n"/>
      <c r="B131" s="3" t="inlineStr">
        <is>
          <t>1.</t>
        </is>
      </c>
      <c r="C131" s="51" t="inlineStr">
        <is>
          <t>Menunjukkan tanda over-arousal (gelisah, hiperaktif, reaktif berlebihan terhadap stimulus)</t>
        </is>
      </c>
      <c r="D131" s="46" t="n"/>
      <c r="E131" s="46" t="n"/>
      <c r="F131" s="47" t="n"/>
      <c r="G131" s="6" t="n"/>
      <c r="H131" s="46" t="n"/>
      <c r="I131" s="47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" customHeight="1" s="23">
      <c r="A132" s="1" t="n"/>
      <c r="B132" s="3" t="inlineStr">
        <is>
          <t>2.</t>
        </is>
      </c>
      <c r="C132" s="51" t="inlineStr">
        <is>
          <t>Menunjukkan tanda under-arousal (lesu, lambat merespons, tampak mengantuk/low alert)</t>
        </is>
      </c>
      <c r="D132" s="46" t="n"/>
      <c r="E132" s="46" t="n"/>
      <c r="F132" s="47" t="n"/>
      <c r="G132" s="6" t="n"/>
      <c r="H132" s="46" t="n"/>
      <c r="I132" s="47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" customHeight="1" s="23">
      <c r="A133" s="1" t="n"/>
      <c r="B133" s="3" t="inlineStr">
        <is>
          <t>3.</t>
        </is>
      </c>
      <c r="C133" s="51" t="inlineStr">
        <is>
          <t>Mampu kembali ke kondisi tenang (regulated) setelah aktivitas yang intens secara mandiri</t>
        </is>
      </c>
      <c r="D133" s="46" t="n"/>
      <c r="E133" s="46" t="n"/>
      <c r="F133" s="47" t="n"/>
      <c r="G133" s="6" t="n"/>
      <c r="H133" s="46" t="n"/>
      <c r="I133" s="47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" customHeight="1" s="23">
      <c r="A134" s="1" t="n"/>
      <c r="B134" s="3" t="inlineStr">
        <is>
          <t>4.</t>
        </is>
      </c>
      <c r="C134" s="51" t="inlineStr">
        <is>
          <t>Menunjukkan transisi arousal yang tiba-tiba (dari tenang ke sangat aktif, atau sebaliknya)</t>
        </is>
      </c>
      <c r="D134" s="46" t="n"/>
      <c r="E134" s="46" t="n"/>
      <c r="F134" s="47" t="n"/>
      <c r="G134" s="6" t="n"/>
      <c r="H134" s="46" t="n"/>
      <c r="I134" s="47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" customHeight="1" s="23">
      <c r="A135" s="1" t="n"/>
      <c r="B135" s="3" t="inlineStr">
        <is>
          <t>5.</t>
        </is>
      </c>
      <c r="C135" s="51" t="inlineStr">
        <is>
          <t>Membutuhkan bantuan eksternal signifikan untuk kembali ke kondisi tenang (high co-regulation dependency)</t>
        </is>
      </c>
      <c r="D135" s="46" t="n"/>
      <c r="E135" s="46" t="n"/>
      <c r="F135" s="47" t="n"/>
      <c r="G135" s="6" t="n"/>
      <c r="H135" s="46" t="n"/>
      <c r="I135" s="47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" customHeight="1" s="23">
      <c r="A136" s="1" t="n"/>
      <c r="B136" s="3" t="inlineStr">
        <is>
          <t>6.</t>
        </is>
      </c>
      <c r="C136" s="51" t="inlineStr">
        <is>
          <t>Mampu mempertahankan kondisi alert optimal untuk mengikuti aktivitas terstruktur dalam durasi sesuai usia</t>
        </is>
      </c>
      <c r="D136" s="46" t="n"/>
      <c r="E136" s="46" t="n"/>
      <c r="F136" s="47" t="n"/>
      <c r="G136" s="6" t="n"/>
      <c r="H136" s="46" t="n"/>
      <c r="I136" s="47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" customHeight="1" s="23">
      <c r="A137" s="1" t="n"/>
      <c r="B137" s="3" t="inlineStr">
        <is>
          <t>7.</t>
        </is>
      </c>
      <c r="C137" s="51" t="inlineStr">
        <is>
          <t>Menunjukkan respons fight-flight-freeze saat menghadapi stimulus sensoris yang tidak disukai</t>
        </is>
      </c>
      <c r="D137" s="46" t="n"/>
      <c r="E137" s="46" t="n"/>
      <c r="F137" s="47" t="n"/>
      <c r="G137" s="6" t="n"/>
      <c r="H137" s="46" t="n"/>
      <c r="I137" s="47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5" customHeight="1" s="23">
      <c r="A138" s="1" t="n"/>
      <c r="B138" s="11" t="inlineStr">
        <is>
          <t>Catatan klinis:</t>
        </is>
      </c>
      <c r="C138" s="46" t="n"/>
      <c r="D138" s="46" t="n"/>
      <c r="E138" s="46" t="n"/>
      <c r="F138" s="46" t="n"/>
      <c r="G138" s="57">
        <f>SUM(G131:I137)</f>
        <v/>
      </c>
      <c r="H138" s="46" t="n"/>
      <c r="I138" s="47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5" customHeight="1" s="2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5" customHeight="1" s="2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" customHeight="1" s="23">
      <c r="A141" s="1" t="n"/>
      <c r="B141" s="3" t="inlineStr">
        <is>
          <t>REKAP TOTAL SKOR</t>
        </is>
      </c>
      <c r="C141" s="46" t="n"/>
      <c r="D141" s="46" t="n"/>
      <c r="E141" s="46" t="n"/>
      <c r="F141" s="46" t="n"/>
      <c r="G141" s="46" t="n"/>
      <c r="H141" s="46" t="n"/>
      <c r="I141" s="47" t="n"/>
      <c r="J141" s="3" t="inlineStr">
        <is>
          <t>Kategori</t>
        </is>
      </c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30" customHeight="1" s="23">
      <c r="A142" s="1" t="n"/>
      <c r="B142" s="60" t="inlineStr">
        <is>
          <t>S1 — Sensitivitas Taktil</t>
        </is>
      </c>
      <c r="C142" s="46" t="n"/>
      <c r="D142" s="46" t="n"/>
      <c r="E142" s="47" t="n"/>
      <c r="F142" s="6">
        <f>(G34)</f>
        <v/>
      </c>
      <c r="G142" s="46" t="n"/>
      <c r="H142" s="46" t="n"/>
      <c r="I142" s="47" t="n"/>
      <c r="J142" s="6">
        <f>IF(F142&gt;=16,"🟢 Tipikal",IF(F142&gt;=23,"🟡 Kemungkinan",IF(F142&lt;=22,"🔴 Definitif")))</f>
        <v/>
      </c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30" customHeight="1" s="23">
      <c r="A143" s="1" t="n"/>
      <c r="B143" s="60" t="inlineStr">
        <is>
          <t>S2 — Sensitivitas Gustatori &amp; Olfaktori</t>
        </is>
      </c>
      <c r="C143" s="46" t="n"/>
      <c r="D143" s="46" t="n"/>
      <c r="E143" s="47" t="n"/>
      <c r="F143" s="6">
        <f>SUM(G43)</f>
        <v/>
      </c>
      <c r="G143" s="46" t="n"/>
      <c r="H143" s="46" t="n"/>
      <c r="I143" s="47" t="n"/>
      <c r="J143" s="6">
        <f>IF(F143&gt;=16,"🟢 Tipikal",IF(F143&gt;11,"🟡 Kemungkinan",IF(F143&lt;=10,"🔴 Definitif")))</f>
        <v/>
      </c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30" customHeight="1" s="23">
      <c r="A144" s="1" t="n"/>
      <c r="B144" s="60" t="inlineStr">
        <is>
          <t>S3 — Sensitivitas Vestibular / Gerakan</t>
        </is>
      </c>
      <c r="C144" s="46" t="n"/>
      <c r="D144" s="46" t="n"/>
      <c r="E144" s="47" t="n"/>
      <c r="F144" s="6">
        <f>SUM(G51)</f>
        <v/>
      </c>
      <c r="G144" s="46" t="n"/>
      <c r="H144" s="46" t="n"/>
      <c r="I144" s="47" t="n"/>
      <c r="J144" s="6">
        <f>IF(I2&gt;=11,"🟢 Tipikal",IF(I2&gt;8-10,"🟡 Kemungkinan",IF(I2&lt;=7,"🔴 Definitif")))</f>
        <v/>
      </c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30" customHeight="1" s="23">
      <c r="A145" s="1" t="n"/>
      <c r="B145" s="61" t="inlineStr">
        <is>
          <t>S4 — Hiporesponsif / Sensation Seeking</t>
        </is>
      </c>
      <c r="C145" s="46" t="n"/>
      <c r="D145" s="46" t="n"/>
      <c r="E145" s="47" t="n"/>
      <c r="F145" s="6">
        <f>SUM(G63)</f>
        <v/>
      </c>
      <c r="G145" s="46" t="n"/>
      <c r="H145" s="46" t="n"/>
      <c r="I145" s="47" t="n"/>
      <c r="J145" s="6">
        <f>IF(F145&gt;=27,"🟢 Tipikal",IF(F145&gt;=20-26,"🟡 Kemungkinan",IF(F145&lt;=19,"🔴 Definitif")))</f>
        <v/>
      </c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30" customHeight="1" s="23">
      <c r="A146" s="1" t="n"/>
      <c r="B146" s="62" t="inlineStr">
        <is>
          <t>S5 — Filtrasi Auditori</t>
        </is>
      </c>
      <c r="C146" s="46" t="n"/>
      <c r="D146" s="46" t="n"/>
      <c r="E146" s="47" t="n"/>
      <c r="F146" s="6">
        <f>SUM(G75)</f>
        <v/>
      </c>
      <c r="G146" s="46" t="n"/>
      <c r="H146" s="46" t="n"/>
      <c r="I146" s="47" t="n"/>
      <c r="J146" s="6">
        <f>IF(F146&gt;=26,"🟢 Tipikal",IF(F146&gt;=21-25,"🟡 Kemungkinan",IF(F146&lt;=20,"🔴 Definitif")))</f>
        <v/>
      </c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30" customHeight="1" s="23">
      <c r="A147" s="1" t="n"/>
      <c r="B147" s="60" t="inlineStr">
        <is>
          <t>S6 — Energi Rendah / Hipotonisitas</t>
        </is>
      </c>
      <c r="C147" s="46" t="n"/>
      <c r="D147" s="46" t="n"/>
      <c r="E147" s="47" t="n"/>
      <c r="F147" s="6">
        <f>SUM(G86)</f>
        <v/>
      </c>
      <c r="G147" s="46" t="n"/>
      <c r="H147" s="46" t="n"/>
      <c r="I147" s="47" t="n"/>
      <c r="J147" s="6">
        <f>IF(F147&gt;=24,"🟢 Tipikal",IF(F147&gt;18,"🟡 Kemungkinan",IF(F147&lt;=17,"🔴 Definitif")))</f>
        <v/>
      </c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30" customHeight="1" s="23">
      <c r="A148" s="1" t="n"/>
      <c r="B148" s="61" t="inlineStr">
        <is>
          <t>S7 — Sensitivitas Visual &amp; Auditori</t>
        </is>
      </c>
      <c r="C148" s="46" t="n"/>
      <c r="D148" s="46" t="n"/>
      <c r="E148" s="47" t="n"/>
      <c r="F148" s="6">
        <f>SUM(G95)</f>
        <v/>
      </c>
      <c r="G148" s="46" t="n"/>
      <c r="H148" s="46" t="n"/>
      <c r="I148" s="47" t="n"/>
      <c r="J148" s="6">
        <f>IF(F148&gt;=16,"🟢 Tipikal",IF(F148&gt;=11,"🟡 Kemungkinan",IF(F148&lt;=10,"🔴 Definitif")))</f>
        <v/>
      </c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30" customHeight="1" s="23">
      <c r="A149" s="1" t="n"/>
      <c r="B149" s="62" t="inlineStr">
        <is>
          <t>S8 — Motorik Kasar</t>
        </is>
      </c>
      <c r="C149" s="46" t="n"/>
      <c r="D149" s="46" t="n"/>
      <c r="E149" s="47" t="n"/>
      <c r="F149" s="6">
        <f>SUM(G110)</f>
        <v/>
      </c>
      <c r="G149" s="46" t="n"/>
      <c r="H149" s="46" t="n"/>
      <c r="I149" s="47" t="n"/>
      <c r="J149" s="6">
        <f>IF(F149&gt;=28,"🟢 Tipikal",IF(F149&gt;=21-27,"🟡 Kemungkinan",IF(F149&lt;=20,"🔴 Definitif")))</f>
        <v/>
      </c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30" customHeight="1" s="23">
      <c r="A150" s="1" t="n"/>
      <c r="B150" s="62" t="inlineStr">
        <is>
          <t>S9 — Motorik Halus</t>
        </is>
      </c>
      <c r="C150" s="46" t="n"/>
      <c r="D150" s="46" t="n"/>
      <c r="E150" s="47" t="n"/>
      <c r="F150" s="6">
        <f>SUM(G124)</f>
        <v/>
      </c>
      <c r="G150" s="46" t="n"/>
      <c r="H150" s="46" t="n"/>
      <c r="I150" s="47" t="n"/>
      <c r="J150" s="6">
        <f>IF(F150&gt;=28,"🟢 Tipikal",IF(F150&gt;=21-27,"🟡 Kemungkinan",IF(F150&lt;=20,"🔴 Definitif")))</f>
        <v/>
      </c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30" customHeight="1" s="23">
      <c r="A151" s="1" t="n"/>
      <c r="B151" s="60" t="inlineStr">
        <is>
          <t>S10 — Level Arousal &amp; Regulasi Diri</t>
        </is>
      </c>
      <c r="C151" s="46" t="n"/>
      <c r="D151" s="46" t="n"/>
      <c r="E151" s="47" t="n"/>
      <c r="F151" s="6">
        <f>SUM(G138)</f>
        <v/>
      </c>
      <c r="G151" s="46" t="n"/>
      <c r="H151" s="46" t="n"/>
      <c r="I151" s="47" t="n"/>
      <c r="J151" s="6">
        <f>IF(F151&gt;=28,"🟢 Tipikal",IF(F151&gt;=21-27,"🟡 Kemungkinan",IF(F151&lt;=20,"🔴 Definitif")))</f>
        <v/>
      </c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5" customHeight="1" s="23">
      <c r="A152" s="1" t="n"/>
      <c r="B152" s="4" t="inlineStr">
        <is>
          <t>TOTAL SKOR</t>
        </is>
      </c>
      <c r="C152" s="46" t="n"/>
      <c r="D152" s="46" t="n"/>
      <c r="E152" s="47" t="n"/>
      <c r="F152" s="3">
        <f>SUM(F142:I151)</f>
        <v/>
      </c>
      <c r="G152" s="46" t="n"/>
      <c r="H152" s="46" t="n"/>
      <c r="I152" s="46" t="n"/>
      <c r="J152" s="47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5" customHeight="1" s="2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5" customHeight="1" s="23">
      <c r="A154" s="1" t="n"/>
      <c r="B154" s="3" t="inlineStr">
        <is>
          <t>KESIMPULAN &amp; REKOMENDASI KLINIS</t>
        </is>
      </c>
      <c r="C154" s="46" t="n"/>
      <c r="D154" s="46" t="n"/>
      <c r="E154" s="46" t="n"/>
      <c r="F154" s="46" t="n"/>
      <c r="G154" s="46" t="n"/>
      <c r="H154" s="46" t="n"/>
      <c r="I154" s="47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5" customHeight="1" s="23">
      <c r="A155" s="1" t="n"/>
      <c r="B155" s="51" t="n"/>
      <c r="C155" s="38" t="n"/>
      <c r="D155" s="38" t="n"/>
      <c r="E155" s="38" t="n"/>
      <c r="F155" s="38" t="n"/>
      <c r="G155" s="38" t="n"/>
      <c r="H155" s="38" t="n"/>
      <c r="I155" s="39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5" customHeight="1" s="23">
      <c r="A156" s="1" t="n"/>
      <c r="B156" s="40" t="n"/>
      <c r="I156" s="4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5" customHeight="1" s="23">
      <c r="A157" s="1" t="n"/>
      <c r="B157" s="42" t="n"/>
      <c r="C157" s="43" t="n"/>
      <c r="D157" s="43" t="n"/>
      <c r="E157" s="43" t="n"/>
      <c r="F157" s="43" t="n"/>
      <c r="G157" s="43" t="n"/>
      <c r="H157" s="43" t="n"/>
      <c r="I157" s="44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5" customHeight="1" s="2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5" customHeight="1" s="23">
      <c r="A159" s="1" t="n"/>
      <c r="B159" s="37" t="inlineStr">
        <is>
          <t>Referensi / References:
 Dunn, W. (1999). Sensory Profile: User's manual. San Antonio, TX: Psychological Corporation.
 Bruininks, R. H., &amp; Bruininks, B. D. (2005). Bruininks-Oseretsky Test of Motor Proficiency (2nd ed.). Pearson.
 Williams, M. S., &amp; Shellenberger, S. (1996). How Does Your Engine Run? A Leader's Guide to the Alert Program for Self-Regulation. TherapyWorks.</t>
        </is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5" customHeight="1" s="2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5" customHeight="1" s="2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5" customHeight="1" s="2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5" customHeight="1" s="2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5" customHeight="1" s="2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5" customHeight="1" s="2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5" customHeight="1" s="2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5" customHeight="1" s="2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5" customHeight="1" s="2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5" customHeight="1" s="2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5" customHeight="1" s="2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5" customHeight="1" s="2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5" customHeight="1" s="2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5" customHeight="1" s="2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5" customHeight="1" s="2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5" customHeight="1" s="2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5" customHeight="1" s="2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5" customHeight="1" s="2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5" customHeight="1" s="2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5" customHeight="1" s="2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5" customHeight="1" s="2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5" customHeight="1" s="2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5" customHeight="1" s="2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5" customHeight="1" s="2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5" customHeight="1" s="2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5" customHeight="1" s="2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5" customHeight="1" s="2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5" customHeight="1" s="2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5" customHeight="1" s="2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5" customHeight="1" s="2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5" customHeight="1" s="2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5" customHeight="1" s="2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5" customHeight="1" s="2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5" customHeight="1" s="2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5" customHeight="1" s="2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5" customHeight="1" s="2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5" customHeight="1" s="2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5" customHeight="1" s="2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5" customHeight="1" s="2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5" customHeight="1" s="2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5" customHeight="1" s="2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5" customHeight="1" s="2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5" customHeight="1" s="2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5" customHeight="1" s="2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5" customHeight="1" s="2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5" customHeight="1" s="2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5" customHeight="1" s="2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5" customHeight="1" s="2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5" customHeight="1" s="2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5" customHeight="1" s="2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5" customHeight="1" s="2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5" customHeight="1" s="2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5" customHeight="1" s="2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5" customHeight="1" s="2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5" customHeight="1" s="2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5" customHeight="1" s="2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5" customHeight="1" s="2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5" customHeight="1" s="2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5" customHeight="1" s="2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5" customHeight="1" s="2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5" customHeight="1" s="2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5" customHeight="1" s="2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5" customHeight="1" s="2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5" customHeight="1" s="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5" customHeight="1" s="2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5" customHeight="1" s="2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5" customHeight="1" s="2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5" customHeight="1" s="2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5" customHeight="1" s="2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5" customHeight="1" s="2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5" customHeight="1" s="2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5" customHeight="1" s="2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5" customHeight="1" s="2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5" customHeight="1" s="2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5" customHeight="1" s="2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5" customHeight="1" s="2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5" customHeight="1" s="2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5" customHeight="1" s="2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5" customHeight="1" s="2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5" customHeight="1" s="2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5" customHeight="1" s="2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5" customHeight="1" s="2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5" customHeight="1" s="2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5" customHeight="1" s="2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5" customHeight="1" s="2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5" customHeight="1" s="2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5" customHeight="1" s="2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5" customHeight="1" s="2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5" customHeight="1" s="2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5" customHeight="1" s="2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5" customHeight="1" s="2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5" customHeight="1" s="2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5" customHeight="1" s="2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5" customHeight="1" s="2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5" customHeight="1" s="2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5" customHeight="1" s="2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5" customHeight="1" s="2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5" customHeight="1" s="2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5" customHeight="1" s="2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5" customHeight="1" s="2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5" customHeight="1" s="2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5" customHeight="1" s="2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5" customHeight="1" s="2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5" customHeight="1" s="2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5" customHeight="1" s="2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5" customHeight="1" s="2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5" customHeight="1" s="2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5" customHeight="1" s="2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5" customHeight="1" s="2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5" customHeight="1" s="2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5" customHeight="1" s="2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5" customHeight="1" s="2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5" customHeight="1" s="2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5" customHeight="1" s="2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5" customHeight="1" s="2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5" customHeight="1" s="2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5" customHeight="1" s="2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5" customHeight="1" s="2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5" customHeight="1" s="2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5" customHeight="1" s="2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5" customHeight="1" s="2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5" customHeight="1" s="2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5" customHeight="1" s="2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5" customHeight="1" s="2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5" customHeight="1" s="2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5" customHeight="1" s="2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5" customHeight="1" s="2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5" customHeight="1" s="2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5" customHeight="1" s="2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5" customHeight="1" s="2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5" customHeight="1" s="2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5" customHeight="1" s="2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5" customHeight="1" s="2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5" customHeight="1" s="2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5" customHeight="1" s="2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5" customHeight="1" s="2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5" customHeight="1" s="2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5" customHeight="1" s="2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5" customHeight="1" s="2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5" customHeight="1" s="2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5" customHeight="1" s="2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5" customHeight="1" s="2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5" customHeight="1" s="2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5" customHeight="1" s="2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5" customHeight="1" s="2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5" customHeight="1" s="2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5" customHeight="1" s="2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5" customHeight="1" s="2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5" customHeight="1" s="2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5" customHeight="1" s="2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5" customHeight="1" s="2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5" customHeight="1" s="2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5" customHeight="1" s="2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5" customHeight="1" s="2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5" customHeight="1" s="2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5" customHeight="1" s="2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5" customHeight="1" s="2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5" customHeight="1" s="2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5" customHeight="1" s="2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5" customHeight="1" s="2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5" customHeight="1" s="2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5" customHeight="1" s="2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5" customHeight="1" s="2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5" customHeight="1" s="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5" customHeight="1" s="2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5" customHeight="1" s="2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5" customHeight="1" s="2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5" customHeight="1" s="2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5" customHeight="1" s="2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5" customHeight="1" s="2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5" customHeight="1" s="2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5" customHeight="1" s="2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5" customHeight="1" s="2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5" customHeight="1" s="2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5" customHeight="1" s="2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5" customHeight="1" s="2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5" customHeight="1" s="2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5" customHeight="1" s="2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5" customHeight="1" s="2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5" customHeight="1" s="2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5" customHeight="1" s="2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5" customHeight="1" s="2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5" customHeight="1" s="2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5" customHeight="1" s="2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5" customHeight="1" s="2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5" customHeight="1" s="2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5" customHeight="1" s="2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5" customHeight="1" s="2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5" customHeight="1" s="2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5" customHeight="1" s="2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5" customHeight="1" s="2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5" customHeight="1" s="2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5" customHeight="1" s="2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5" customHeight="1" s="2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5" customHeight="1" s="2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5" customHeight="1" s="2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5" customHeight="1" s="2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5" customHeight="1" s="2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5" customHeight="1" s="2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5" customHeight="1" s="2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5" customHeight="1" s="2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5" customHeight="1" s="2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5" customHeight="1" s="2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5" customHeight="1" s="2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5" customHeight="1" s="2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5" customHeight="1" s="2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5" customHeight="1" s="2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5" customHeight="1" s="2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5" customHeight="1" s="2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5" customHeight="1" s="2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5" customHeight="1" s="2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5" customHeight="1" s="2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5" customHeight="1" s="2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5" customHeight="1" s="2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5" customHeight="1" s="2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5" customHeight="1" s="2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5" customHeight="1" s="2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5" customHeight="1" s="2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5" customHeight="1" s="2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5" customHeight="1" s="2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5" customHeight="1" s="2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5" customHeight="1" s="2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5" customHeight="1" s="2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5" customHeight="1" s="2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5" customHeight="1" s="2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5" customHeight="1" s="2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5" customHeight="1" s="2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5" customHeight="1" s="2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5" customHeight="1" s="2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5" customHeight="1" s="2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5" customHeight="1" s="2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5" customHeight="1" s="2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5" customHeight="1" s="2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5" customHeight="1" s="2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5" customHeight="1" s="2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5" customHeight="1" s="2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5" customHeight="1" s="2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5" customHeight="1" s="2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5" customHeight="1" s="2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5" customHeight="1" s="2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5" customHeight="1" s="2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5" customHeight="1" s="2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5" customHeight="1" s="2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5" customHeight="1" s="2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5" customHeight="1" s="2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5" customHeight="1" s="2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5" customHeight="1" s="2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5" customHeight="1" s="2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5" customHeight="1" s="2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5" customHeight="1" s="2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5" customHeight="1" s="2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5" customHeight="1" s="2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5" customHeight="1" s="2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5" customHeight="1" s="2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5" customHeight="1" s="2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5" customHeight="1" s="2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5" customHeight="1" s="2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5" customHeight="1" s="2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5" customHeight="1" s="2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5" customHeight="1" s="2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5" customHeight="1" s="2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5" customHeight="1" s="2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5" customHeight="1" s="2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5" customHeight="1" s="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5" customHeight="1" s="2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5" customHeight="1" s="2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5" customHeight="1" s="2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5" customHeight="1" s="2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5" customHeight="1" s="2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5" customHeight="1" s="2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5" customHeight="1" s="2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5" customHeight="1" s="2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5" customHeight="1" s="2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5" customHeight="1" s="2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5" customHeight="1" s="2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5" customHeight="1" s="2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5" customHeight="1" s="2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5" customHeight="1" s="2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5" customHeight="1" s="2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5" customHeight="1" s="2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5" customHeight="1" s="2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5" customHeight="1" s="2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5" customHeight="1" s="2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5" customHeight="1" s="2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5" customHeight="1" s="2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5" customHeight="1" s="2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5" customHeight="1" s="2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5" customHeight="1" s="2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5" customHeight="1" s="2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5" customHeight="1" s="2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5" customHeight="1" s="2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5" customHeight="1" s="2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5" customHeight="1" s="2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5" customHeight="1" s="2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5" customHeight="1" s="2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5" customHeight="1" s="2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5" customHeight="1" s="2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5" customHeight="1" s="2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5" customHeight="1" s="2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5" customHeight="1" s="2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5" customHeight="1" s="2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5" customHeight="1" s="2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5" customHeight="1" s="2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5" customHeight="1" s="2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5" customHeight="1" s="2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5" customHeight="1" s="2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5" customHeight="1" s="2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5" customHeight="1" s="2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5" customHeight="1" s="2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5" customHeight="1" s="2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5" customHeight="1" s="2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5" customHeight="1" s="2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5" customHeight="1" s="2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5" customHeight="1" s="2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5" customHeight="1" s="2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5" customHeight="1" s="2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5" customHeight="1" s="2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5" customHeight="1" s="2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5" customHeight="1" s="2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5" customHeight="1" s="2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5" customHeight="1" s="2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5" customHeight="1" s="2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5" customHeight="1" s="2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5" customHeight="1" s="2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5" customHeight="1" s="2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5" customHeight="1" s="2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5" customHeight="1" s="2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5" customHeight="1" s="2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5" customHeight="1" s="2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5" customHeight="1" s="2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5" customHeight="1" s="2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5" customHeight="1" s="2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5" customHeight="1" s="2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5" customHeight="1" s="2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5" customHeight="1" s="2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5" customHeight="1" s="2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5" customHeight="1" s="2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5" customHeight="1" s="2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5" customHeight="1" s="2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5" customHeight="1" s="2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5" customHeight="1" s="2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5" customHeight="1" s="2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5" customHeight="1" s="2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5" customHeight="1" s="2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5" customHeight="1" s="2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5" customHeight="1" s="2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5" customHeight="1" s="2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5" customHeight="1" s="2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5" customHeight="1" s="2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5" customHeight="1" s="2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5" customHeight="1" s="2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5" customHeight="1" s="2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5" customHeight="1" s="2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5" customHeight="1" s="2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5" customHeight="1" s="2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5" customHeight="1" s="2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5" customHeight="1" s="2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5" customHeight="1" s="2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5" customHeight="1" s="2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5" customHeight="1" s="2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5" customHeight="1" s="2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5" customHeight="1" s="2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5" customHeight="1" s="2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5" customHeight="1" s="2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5" customHeight="1" s="2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5" customHeight="1" s="2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5" customHeight="1" s="2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5" customHeight="1" s="2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5" customHeight="1" s="2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5" customHeight="1" s="2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5" customHeight="1" s="2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5" customHeight="1" s="2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5" customHeight="1" s="2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5" customHeight="1" s="2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5" customHeight="1" s="2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5" customHeight="1" s="2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5" customHeight="1" s="2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5" customHeight="1" s="2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5" customHeight="1" s="2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5" customHeight="1" s="2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5" customHeight="1" s="2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5" customHeight="1" s="2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5" customHeight="1" s="2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5" customHeight="1" s="2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5" customHeight="1" s="2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5" customHeight="1" s="2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5" customHeight="1" s="2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5" customHeight="1" s="2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5" customHeight="1" s="2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5" customHeight="1" s="2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5" customHeight="1" s="2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5" customHeight="1" s="2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5" customHeight="1" s="2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5" customHeight="1" s="2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5" customHeight="1" s="2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5" customHeight="1" s="2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5" customHeight="1" s="2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5" customHeight="1" s="2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5" customHeight="1" s="2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5" customHeight="1" s="2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5" customHeight="1" s="2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5" customHeight="1" s="2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5" customHeight="1" s="2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5" customHeight="1" s="2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5" customHeight="1" s="2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5" customHeight="1" s="2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5" customHeight="1" s="2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5" customHeight="1" s="2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5" customHeight="1" s="2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5" customHeight="1" s="2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5" customHeight="1" s="2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5" customHeight="1" s="2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5" customHeight="1" s="2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5" customHeight="1" s="2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5" customHeight="1" s="2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5" customHeight="1" s="2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5" customHeight="1" s="2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5" customHeight="1" s="2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5" customHeight="1" s="2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5" customHeight="1" s="2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5" customHeight="1" s="2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5" customHeight="1" s="2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5" customHeight="1" s="2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5" customHeight="1" s="2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5" customHeight="1" s="2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5" customHeight="1" s="2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5" customHeight="1" s="2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5" customHeight="1" s="2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5" customHeight="1" s="2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5" customHeight="1" s="2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5" customHeight="1" s="2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5" customHeight="1" s="2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5" customHeight="1" s="2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5" customHeight="1" s="2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5" customHeight="1" s="2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5" customHeight="1" s="2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5" customHeight="1" s="2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5" customHeight="1" s="2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5" customHeight="1" s="2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5" customHeight="1" s="2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5" customHeight="1" s="2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5" customHeight="1" s="2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5" customHeight="1" s="2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5" customHeight="1" s="2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5" customHeight="1" s="2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5" customHeight="1" s="2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5" customHeight="1" s="2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5" customHeight="1" s="2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5" customHeight="1" s="2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5" customHeight="1" s="2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5" customHeight="1" s="2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5" customHeight="1" s="2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5" customHeight="1" s="2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5" customHeight="1" s="2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5" customHeight="1" s="2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5" customHeight="1" s="2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5" customHeight="1" s="2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5" customHeight="1" s="2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5" customHeight="1" s="2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5" customHeight="1" s="2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5" customHeight="1" s="2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5" customHeight="1" s="2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5" customHeight="1" s="2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5" customHeight="1" s="2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5" customHeight="1" s="2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5" customHeight="1" s="2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5" customHeight="1" s="2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5" customHeight="1" s="2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5" customHeight="1" s="2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5" customHeight="1" s="2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5" customHeight="1" s="2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5" customHeight="1" s="2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5" customHeight="1" s="2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5" customHeight="1" s="2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5" customHeight="1" s="2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5" customHeight="1" s="2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5" customHeight="1" s="2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5" customHeight="1" s="2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5" customHeight="1" s="2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5" customHeight="1" s="2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5" customHeight="1" s="2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5" customHeight="1" s="2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5" customHeight="1" s="2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5" customHeight="1" s="2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5" customHeight="1" s="2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5" customHeight="1" s="2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5" customHeight="1" s="2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5" customHeight="1" s="2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5" customHeight="1" s="2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5" customHeight="1" s="2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5" customHeight="1" s="2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5" customHeight="1" s="2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5" customHeight="1" s="2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5" customHeight="1" s="2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5" customHeight="1" s="2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5" customHeight="1" s="2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5" customHeight="1" s="2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5" customHeight="1" s="2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5" customHeight="1" s="2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5" customHeight="1" s="2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5" customHeight="1" s="2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5" customHeight="1" s="2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5" customHeight="1" s="2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5" customHeight="1" s="2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5" customHeight="1" s="2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5" customHeight="1" s="2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5" customHeight="1" s="2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5" customHeight="1" s="2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5" customHeight="1" s="2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5" customHeight="1" s="2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5" customHeight="1" s="2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5" customHeight="1" s="2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5" customHeight="1" s="2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5" customHeight="1" s="2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5" customHeight="1" s="2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5" customHeight="1" s="2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5" customHeight="1" s="2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5" customHeight="1" s="2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5" customHeight="1" s="2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5" customHeight="1" s="2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5" customHeight="1" s="2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5" customHeight="1" s="2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5" customHeight="1" s="2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5" customHeight="1" s="2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5" customHeight="1" s="2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5" customHeight="1" s="2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5" customHeight="1" s="2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5" customHeight="1" s="2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5" customHeight="1" s="2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5" customHeight="1" s="2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5" customHeight="1" s="2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5" customHeight="1" s="2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5" customHeight="1" s="2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5" customHeight="1" s="2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5" customHeight="1" s="2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5" customHeight="1" s="2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5" customHeight="1" s="2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5" customHeight="1" s="2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5" customHeight="1" s="2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5" customHeight="1" s="2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5" customHeight="1" s="2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5" customHeight="1" s="2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5" customHeight="1" s="2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5" customHeight="1" s="2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5" customHeight="1" s="2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5" customHeight="1" s="2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5" customHeight="1" s="2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5" customHeight="1" s="2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5" customHeight="1" s="2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5" customHeight="1" s="2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5" customHeight="1" s="2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5" customHeight="1" s="2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5" customHeight="1" s="2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5" customHeight="1" s="2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5" customHeight="1" s="2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5" customHeight="1" s="2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5" customHeight="1" s="2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5" customHeight="1" s="2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5" customHeight="1" s="2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5" customHeight="1" s="2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5" customHeight="1" s="2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5" customHeight="1" s="2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5" customHeight="1" s="2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5" customHeight="1" s="2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5" customHeight="1" s="2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5" customHeight="1" s="2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5" customHeight="1" s="2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5" customHeight="1" s="2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5" customHeight="1" s="2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5" customHeight="1" s="2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5" customHeight="1" s="2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5" customHeight="1" s="2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5" customHeight="1" s="2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5" customHeight="1" s="2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5" customHeight="1" s="2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5" customHeight="1" s="2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5" customHeight="1" s="2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5" customHeight="1" s="2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5" customHeight="1" s="2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5" customHeight="1" s="2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5" customHeight="1" s="2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5" customHeight="1" s="2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5" customHeight="1" s="2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5" customHeight="1" s="2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5" customHeight="1" s="2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5" customHeight="1" s="2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5" customHeight="1" s="2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5" customHeight="1" s="2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5" customHeight="1" s="2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5" customHeight="1" s="2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5" customHeight="1" s="2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5" customHeight="1" s="2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5" customHeight="1" s="2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5" customHeight="1" s="2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5" customHeight="1" s="2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5" customHeight="1" s="2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5" customHeight="1" s="2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5" customHeight="1" s="2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5" customHeight="1" s="2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5" customHeight="1" s="2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5" customHeight="1" s="2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5" customHeight="1" s="2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5" customHeight="1" s="2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5" customHeight="1" s="2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5" customHeight="1" s="2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5" customHeight="1" s="2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5" customHeight="1" s="2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5" customHeight="1" s="2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5" customHeight="1" s="2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5" customHeight="1" s="2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5" customHeight="1" s="2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5" customHeight="1" s="2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5" customHeight="1" s="2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5" customHeight="1" s="2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5" customHeight="1" s="2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5" customHeight="1" s="2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5" customHeight="1" s="2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5" customHeight="1" s="2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5" customHeight="1" s="2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5" customHeight="1" s="2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5" customHeight="1" s="2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5" customHeight="1" s="2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5" customHeight="1" s="2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5" customHeight="1" s="2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5" customHeight="1" s="2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5" customHeight="1" s="2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5" customHeight="1" s="2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5" customHeight="1" s="2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5" customHeight="1" s="2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5" customHeight="1" s="2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5" customHeight="1" s="2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5" customHeight="1" s="2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5" customHeight="1" s="2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5" customHeight="1" s="2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5" customHeight="1" s="2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5" customHeight="1" s="2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5" customHeight="1" s="2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5" customHeight="1" s="2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5" customHeight="1" s="2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5" customHeight="1" s="2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5" customHeight="1" s="2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5" customHeight="1" s="2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5" customHeight="1" s="2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5" customHeight="1" s="2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5" customHeight="1" s="2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5" customHeight="1" s="2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5" customHeight="1" s="2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5" customHeight="1" s="2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5" customHeight="1" s="2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5" customHeight="1" s="2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5" customHeight="1" s="2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5" customHeight="1" s="2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5" customHeight="1" s="2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5" customHeight="1" s="2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5" customHeight="1" s="2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5" customHeight="1" s="2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5" customHeight="1" s="2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5" customHeight="1" s="2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5" customHeight="1" s="2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5" customHeight="1" s="2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5" customHeight="1" s="2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5" customHeight="1" s="2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5" customHeight="1" s="2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5" customHeight="1" s="2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5" customHeight="1" s="2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5" customHeight="1" s="2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5" customHeight="1" s="2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5" customHeight="1" s="2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5" customHeight="1" s="2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5" customHeight="1" s="2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5" customHeight="1" s="2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5" customHeight="1" s="2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5" customHeight="1" s="2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5" customHeight="1" s="2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5" customHeight="1" s="2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5" customHeight="1" s="2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5" customHeight="1" s="2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5" customHeight="1" s="2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5" customHeight="1" s="2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5" customHeight="1" s="2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5" customHeight="1" s="2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5" customHeight="1" s="2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5" customHeight="1" s="2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5" customHeight="1" s="2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5" customHeight="1" s="2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5" customHeight="1" s="2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5" customHeight="1" s="2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5" customHeight="1" s="2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5" customHeight="1" s="2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5" customHeight="1" s="2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5" customHeight="1" s="2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5" customHeight="1" s="2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5" customHeight="1" s="2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5" customHeight="1" s="2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5" customHeight="1" s="2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5" customHeight="1" s="2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5" customHeight="1" s="2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5" customHeight="1" s="2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5" customHeight="1" s="2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5" customHeight="1" s="2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5" customHeight="1" s="2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5" customHeight="1" s="2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5" customHeight="1" s="2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5" customHeight="1" s="2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5" customHeight="1" s="2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5" customHeight="1" s="2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5" customHeight="1" s="2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5" customHeight="1" s="2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5" customHeight="1" s="2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5" customHeight="1" s="2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5" customHeight="1" s="2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5" customHeight="1" s="2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5" customHeight="1" s="2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5" customHeight="1" s="2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5" customHeight="1" s="2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5" customHeight="1" s="2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5" customHeight="1" s="2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5" customHeight="1" s="2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5" customHeight="1" s="2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5" customHeight="1" s="2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5" customHeight="1" s="2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5" customHeight="1" s="2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5" customHeight="1" s="2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5" customHeight="1" s="2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5" customHeight="1" s="2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5" customHeight="1" s="2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5" customHeight="1" s="2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5" customHeight="1" s="2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5" customHeight="1" s="2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5" customHeight="1" s="2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5" customHeight="1" s="2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5" customHeight="1" s="2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5" customHeight="1" s="2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5" customHeight="1" s="2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5" customHeight="1" s="2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5" customHeight="1" s="2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5" customHeight="1" s="2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5" customHeight="1" s="2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5" customHeight="1" s="2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5" customHeight="1" s="2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5" customHeight="1" s="2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5" customHeight="1" s="2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5" customHeight="1" s="2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5" customHeight="1" s="2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5" customHeight="1" s="2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5" customHeight="1" s="2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5" customHeight="1" s="2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5" customHeight="1" s="2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5" customHeight="1" s="2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5" customHeight="1" s="2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5" customHeight="1" s="2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5" customHeight="1" s="2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5" customHeight="1" s="2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5" customHeight="1" s="2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5" customHeight="1" s="2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5" customHeight="1" s="2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5" customHeight="1" s="2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5" customHeight="1" s="2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5" customHeight="1" s="2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5" customHeight="1" s="2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5" customHeight="1" s="2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5" customHeight="1" s="2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5" customHeight="1" s="2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5" customHeight="1" s="2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5" customHeight="1" s="2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5" customHeight="1" s="2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5" customHeight="1" s="2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5" customHeight="1" s="2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5" customHeight="1" s="2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5" customHeight="1" s="2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5" customHeight="1" s="2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5" customHeight="1" s="2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5" customHeight="1" s="2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5" customHeight="1" s="2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5" customHeight="1" s="2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5" customHeight="1" s="2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5" customHeight="1" s="2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5" customHeight="1" s="2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5" customHeight="1" s="2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5" customHeight="1" s="2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5" customHeight="1" s="2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5" customHeight="1" s="2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5" customHeight="1" s="2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5" customHeight="1" s="2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5" customHeight="1" s="2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5" customHeight="1" s="2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5" customHeight="1" s="2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5" customHeight="1" s="2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5" customHeight="1" s="2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5" customHeight="1" s="2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5" customHeight="1" s="2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5" customHeight="1" s="2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5" customHeight="1" s="2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5" customHeight="1" s="2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5" customHeight="1" s="2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5" customHeight="1" s="2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5" customHeight="1" s="2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5" customHeight="1" s="2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5" customHeight="1" s="2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5" customHeight="1" s="2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5" customHeight="1" s="2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5" customHeight="1" s="2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5" customHeight="1" s="2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5" customHeight="1" s="2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5" customHeight="1" s="2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5" customHeight="1" s="2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5" customHeight="1" s="2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5" customHeight="1" s="2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5" customHeight="1" s="2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5" customHeight="1" s="2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5" customHeight="1" s="2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5" customHeight="1" s="2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5" customHeight="1" s="2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5" customHeight="1" s="2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5" customHeight="1" s="2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5" customHeight="1" s="2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5" customHeight="1" s="2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5" customHeight="1" s="2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5" customHeight="1" s="2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5" customHeight="1" s="2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5" customHeight="1" s="2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5" customHeight="1" s="2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5" customHeight="1" s="2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5" customHeight="1" s="2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5" customHeight="1" s="2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5" customHeight="1" s="2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5" customHeight="1" s="2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5" customHeight="1" s="2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5" customHeight="1" s="2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5" customHeight="1" s="2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5" customHeight="1" s="2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5" customHeight="1" s="2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5" customHeight="1" s="2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5" customHeight="1" s="2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5" customHeight="1" s="2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5" customHeight="1" s="2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5" customHeight="1" s="2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5" customHeight="1" s="2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5" customHeight="1" s="2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5" customHeight="1" s="2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5" customHeight="1" s="2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  <row r="1001" ht="12.5" customHeight="1" s="23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  <c r="Z1001" s="1" t="n"/>
    </row>
    <row r="1002" ht="12.5" customHeight="1" s="23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  <c r="Z1002" s="1" t="n"/>
    </row>
    <row r="1003" ht="12.5" customHeight="1" s="23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  <c r="Z1003" s="1" t="n"/>
    </row>
    <row r="1004" ht="12.5" customHeight="1" s="23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  <c r="Z1004" s="1" t="n"/>
    </row>
    <row r="1005" ht="12.5" customHeight="1" s="23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  <c r="Z1005" s="1" t="n"/>
    </row>
    <row r="1006" ht="12.5" customHeight="1" s="23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  <c r="Z1006" s="1" t="n"/>
    </row>
    <row r="1007" ht="12.5" customHeight="1" s="23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  <c r="Z1007" s="1" t="n"/>
    </row>
    <row r="1008" ht="12.5" customHeight="1" s="23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  <c r="Z1008" s="1" t="n"/>
    </row>
    <row r="1009" ht="12.5" customHeight="1" s="23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  <c r="Z1009" s="1" t="n"/>
    </row>
    <row r="1010" ht="12.5" customHeight="1" s="23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  <c r="Z1010" s="1" t="n"/>
    </row>
    <row r="1011" ht="12.5" customHeight="1" s="23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  <c r="Z1011" s="1" t="n"/>
    </row>
    <row r="1012" ht="12.5" customHeight="1" s="23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  <c r="Z1012" s="1" t="n"/>
    </row>
    <row r="1013" ht="12.5" customHeight="1" s="23">
      <c r="A1013" s="1" t="n"/>
      <c r="B1013" s="1" t="n"/>
      <c r="C1013" s="1" t="n"/>
      <c r="D1013" s="1" t="n"/>
      <c r="E1013" s="1" t="n"/>
      <c r="F1013" s="1" t="n"/>
      <c r="G1013" s="1" t="n"/>
      <c r="H1013" s="1" t="n"/>
      <c r="I1013" s="1" t="n"/>
      <c r="J1013" s="1" t="n"/>
      <c r="K1013" s="1" t="n"/>
      <c r="L1013" s="1" t="n"/>
      <c r="M1013" s="1" t="n"/>
      <c r="N1013" s="1" t="n"/>
      <c r="O1013" s="1" t="n"/>
      <c r="P1013" s="1" t="n"/>
      <c r="Q1013" s="1" t="n"/>
      <c r="R1013" s="1" t="n"/>
      <c r="S1013" s="1" t="n"/>
      <c r="T1013" s="1" t="n"/>
      <c r="U1013" s="1" t="n"/>
      <c r="V1013" s="1" t="n"/>
      <c r="W1013" s="1" t="n"/>
      <c r="X1013" s="1" t="n"/>
      <c r="Y1013" s="1" t="n"/>
      <c r="Z1013" s="1" t="n"/>
    </row>
    <row r="1014" ht="12.5" customHeight="1" s="23">
      <c r="A1014" s="1" t="n"/>
      <c r="B1014" s="1" t="n"/>
      <c r="C1014" s="1" t="n"/>
      <c r="D1014" s="1" t="n"/>
      <c r="E1014" s="1" t="n"/>
      <c r="F1014" s="1" t="n"/>
      <c r="G1014" s="1" t="n"/>
      <c r="H1014" s="1" t="n"/>
      <c r="I1014" s="1" t="n"/>
      <c r="J1014" s="1" t="n"/>
      <c r="K1014" s="1" t="n"/>
      <c r="L1014" s="1" t="n"/>
      <c r="M1014" s="1" t="n"/>
      <c r="N1014" s="1" t="n"/>
      <c r="O1014" s="1" t="n"/>
      <c r="P1014" s="1" t="n"/>
      <c r="Q1014" s="1" t="n"/>
      <c r="R1014" s="1" t="n"/>
      <c r="S1014" s="1" t="n"/>
      <c r="T1014" s="1" t="n"/>
      <c r="U1014" s="1" t="n"/>
      <c r="V1014" s="1" t="n"/>
      <c r="W1014" s="1" t="n"/>
      <c r="X1014" s="1" t="n"/>
      <c r="Y1014" s="1" t="n"/>
      <c r="Z1014" s="1" t="n"/>
    </row>
    <row r="1015" ht="12.5" customHeight="1" s="23">
      <c r="A1015" s="1" t="n"/>
      <c r="B1015" s="1" t="n"/>
      <c r="C1015" s="1" t="n"/>
      <c r="D1015" s="1" t="n"/>
      <c r="E1015" s="1" t="n"/>
      <c r="F1015" s="1" t="n"/>
      <c r="G1015" s="1" t="n"/>
      <c r="H1015" s="1" t="n"/>
      <c r="I1015" s="1" t="n"/>
      <c r="J1015" s="1" t="n"/>
      <c r="K1015" s="1" t="n"/>
      <c r="L1015" s="1" t="n"/>
      <c r="M1015" s="1" t="n"/>
      <c r="N1015" s="1" t="n"/>
      <c r="O1015" s="1" t="n"/>
      <c r="P1015" s="1" t="n"/>
      <c r="Q1015" s="1" t="n"/>
      <c r="R1015" s="1" t="n"/>
      <c r="S1015" s="1" t="n"/>
      <c r="T1015" s="1" t="n"/>
      <c r="U1015" s="1" t="n"/>
      <c r="V1015" s="1" t="n"/>
      <c r="W1015" s="1" t="n"/>
      <c r="X1015" s="1" t="n"/>
      <c r="Y1015" s="1" t="n"/>
      <c r="Z1015" s="1" t="n"/>
    </row>
  </sheetData>
  <mergeCells count="217">
    <mergeCell ref="B146:E146"/>
    <mergeCell ref="G38:I38"/>
    <mergeCell ref="G103:I103"/>
    <mergeCell ref="C61:F61"/>
    <mergeCell ref="C39:F39"/>
    <mergeCell ref="C122:F122"/>
    <mergeCell ref="G62:I62"/>
    <mergeCell ref="G118:I118"/>
    <mergeCell ref="B159:I159"/>
    <mergeCell ref="C72:F72"/>
    <mergeCell ref="C32:F32"/>
    <mergeCell ref="C81:F81"/>
    <mergeCell ref="E79:F79"/>
    <mergeCell ref="G95:I95"/>
    <mergeCell ref="C136:F136"/>
    <mergeCell ref="G104:I104"/>
    <mergeCell ref="C62:F62"/>
    <mergeCell ref="G73:I73"/>
    <mergeCell ref="G26:I26"/>
    <mergeCell ref="F25:I25"/>
    <mergeCell ref="C107:F107"/>
    <mergeCell ref="B115:E115"/>
    <mergeCell ref="C116:F116"/>
    <mergeCell ref="B149:E149"/>
    <mergeCell ref="C14:I14"/>
    <mergeCell ref="G63:I63"/>
    <mergeCell ref="G50:I50"/>
    <mergeCell ref="G90:I90"/>
    <mergeCell ref="C73:F73"/>
    <mergeCell ref="B34:F34"/>
    <mergeCell ref="C26:F26"/>
    <mergeCell ref="G131:I131"/>
    <mergeCell ref="B151:E151"/>
    <mergeCell ref="C121:F121"/>
    <mergeCell ref="F142:I142"/>
    <mergeCell ref="C134:F134"/>
    <mergeCell ref="C41:F41"/>
    <mergeCell ref="C93:F93"/>
    <mergeCell ref="C50:F50"/>
    <mergeCell ref="B101:E101"/>
    <mergeCell ref="F152:J152"/>
    <mergeCell ref="G107:I107"/>
    <mergeCell ref="C56:F56"/>
    <mergeCell ref="G42:I42"/>
    <mergeCell ref="F144:I144"/>
    <mergeCell ref="C105:F105"/>
    <mergeCell ref="B78:E78"/>
    <mergeCell ref="B2:I5"/>
    <mergeCell ref="C27:F27"/>
    <mergeCell ref="C120:F120"/>
    <mergeCell ref="G122:I122"/>
    <mergeCell ref="B113:I113"/>
    <mergeCell ref="B17:I20"/>
    <mergeCell ref="G28:I28"/>
    <mergeCell ref="C135:F135"/>
    <mergeCell ref="C8:I8"/>
    <mergeCell ref="E67:F67"/>
    <mergeCell ref="B141:I141"/>
    <mergeCell ref="G69:I69"/>
    <mergeCell ref="F37:I37"/>
    <mergeCell ref="G92:I92"/>
    <mergeCell ref="G30:I30"/>
    <mergeCell ref="C28:F28"/>
    <mergeCell ref="G124:I124"/>
    <mergeCell ref="B43:F43"/>
    <mergeCell ref="G133:I133"/>
    <mergeCell ref="F148:I148"/>
    <mergeCell ref="G80:I80"/>
    <mergeCell ref="C69:F69"/>
    <mergeCell ref="B129:E129"/>
    <mergeCell ref="C83:F83"/>
    <mergeCell ref="C92:F92"/>
    <mergeCell ref="C30:F30"/>
    <mergeCell ref="G55:I55"/>
    <mergeCell ref="B25:E25"/>
    <mergeCell ref="F54:I54"/>
    <mergeCell ref="G135:I135"/>
    <mergeCell ref="F146:I146"/>
    <mergeCell ref="G51:I51"/>
    <mergeCell ref="B66:E66"/>
    <mergeCell ref="G119:I119"/>
    <mergeCell ref="G32:I32"/>
    <mergeCell ref="G134:I134"/>
    <mergeCell ref="G41:I41"/>
    <mergeCell ref="F143:I143"/>
    <mergeCell ref="G106:I106"/>
    <mergeCell ref="G81:I81"/>
    <mergeCell ref="G56:I56"/>
    <mergeCell ref="G105:I105"/>
    <mergeCell ref="C137:F137"/>
    <mergeCell ref="G43:I43"/>
    <mergeCell ref="C40:F40"/>
    <mergeCell ref="G71:I71"/>
    <mergeCell ref="G120:I120"/>
    <mergeCell ref="G27:I27"/>
    <mergeCell ref="B124:F124"/>
    <mergeCell ref="C90:F90"/>
    <mergeCell ref="C12:I12"/>
    <mergeCell ref="B37:E37"/>
    <mergeCell ref="B154:I154"/>
    <mergeCell ref="F150:I150"/>
    <mergeCell ref="G82:I82"/>
    <mergeCell ref="C123:F123"/>
    <mergeCell ref="C71:F71"/>
    <mergeCell ref="F46:I46"/>
    <mergeCell ref="C132:F132"/>
    <mergeCell ref="B75:F75"/>
    <mergeCell ref="C119:F119"/>
    <mergeCell ref="G137:I137"/>
    <mergeCell ref="B98:I99"/>
    <mergeCell ref="C91:F91"/>
    <mergeCell ref="G93:I93"/>
    <mergeCell ref="C82:F82"/>
    <mergeCell ref="B142:E142"/>
    <mergeCell ref="G34:I34"/>
    <mergeCell ref="G74:I74"/>
    <mergeCell ref="C57:F57"/>
    <mergeCell ref="B89:E89"/>
    <mergeCell ref="G83:I83"/>
    <mergeCell ref="G68:I68"/>
    <mergeCell ref="G108:I108"/>
    <mergeCell ref="C102:F102"/>
    <mergeCell ref="G58:I58"/>
    <mergeCell ref="B144:E144"/>
    <mergeCell ref="G123:I123"/>
    <mergeCell ref="G110:I110"/>
    <mergeCell ref="B54:E54"/>
    <mergeCell ref="B155:I157"/>
    <mergeCell ref="F147:I147"/>
    <mergeCell ref="C68:F68"/>
    <mergeCell ref="C108:F108"/>
    <mergeCell ref="G29:I29"/>
    <mergeCell ref="C58:F58"/>
    <mergeCell ref="G94:I94"/>
    <mergeCell ref="G109:I109"/>
    <mergeCell ref="G47:I47"/>
    <mergeCell ref="F89:I89"/>
    <mergeCell ref="G84:I84"/>
    <mergeCell ref="G31:I31"/>
    <mergeCell ref="G102:I102"/>
    <mergeCell ref="C29:F29"/>
    <mergeCell ref="G40:I40"/>
    <mergeCell ref="C94:F94"/>
    <mergeCell ref="C109:F109"/>
    <mergeCell ref="C10:I10"/>
    <mergeCell ref="G72:I72"/>
    <mergeCell ref="C47:F47"/>
    <mergeCell ref="G86:I86"/>
    <mergeCell ref="B127:I127"/>
    <mergeCell ref="C133:F133"/>
    <mergeCell ref="C84:F84"/>
    <mergeCell ref="F101:I101"/>
    <mergeCell ref="C80:F80"/>
    <mergeCell ref="B148:E148"/>
    <mergeCell ref="C31:F31"/>
    <mergeCell ref="C9:I9"/>
    <mergeCell ref="G136:I136"/>
    <mergeCell ref="G70:I70"/>
    <mergeCell ref="F66:I66"/>
    <mergeCell ref="B63:F63"/>
    <mergeCell ref="C11:I11"/>
    <mergeCell ref="B110:F110"/>
    <mergeCell ref="C60:F60"/>
    <mergeCell ref="F115:I115"/>
    <mergeCell ref="B138:F138"/>
    <mergeCell ref="F149:I149"/>
    <mergeCell ref="C70:F70"/>
    <mergeCell ref="C48:F48"/>
    <mergeCell ref="C106:F106"/>
    <mergeCell ref="B7:I7"/>
    <mergeCell ref="B143:E143"/>
    <mergeCell ref="G57:I57"/>
    <mergeCell ref="C38:F38"/>
    <mergeCell ref="G49:I49"/>
    <mergeCell ref="F151:I151"/>
    <mergeCell ref="G121:I121"/>
    <mergeCell ref="G33:I33"/>
    <mergeCell ref="C131:F131"/>
    <mergeCell ref="C13:I13"/>
    <mergeCell ref="B86:F86"/>
    <mergeCell ref="C49:F49"/>
    <mergeCell ref="F78:I78"/>
    <mergeCell ref="C33:F33"/>
    <mergeCell ref="B150:E150"/>
    <mergeCell ref="C104:F104"/>
    <mergeCell ref="C15:I15"/>
    <mergeCell ref="C42:F42"/>
    <mergeCell ref="G138:I138"/>
    <mergeCell ref="B46:E46"/>
    <mergeCell ref="G91:I91"/>
    <mergeCell ref="C74:F74"/>
    <mergeCell ref="G85:I85"/>
    <mergeCell ref="G60:I60"/>
    <mergeCell ref="B152:E152"/>
    <mergeCell ref="G75:I75"/>
    <mergeCell ref="C103:F103"/>
    <mergeCell ref="C85:F85"/>
    <mergeCell ref="C117:F117"/>
    <mergeCell ref="G59:I59"/>
    <mergeCell ref="B145:E145"/>
    <mergeCell ref="G130:I130"/>
    <mergeCell ref="C55:F55"/>
    <mergeCell ref="F145:I145"/>
    <mergeCell ref="G117:I117"/>
    <mergeCell ref="C118:F118"/>
    <mergeCell ref="B95:F95"/>
    <mergeCell ref="F129:I129"/>
    <mergeCell ref="G61:I61"/>
    <mergeCell ref="B147:E147"/>
    <mergeCell ref="G132:I132"/>
    <mergeCell ref="G39:I39"/>
    <mergeCell ref="C59:F59"/>
    <mergeCell ref="C130:F130"/>
    <mergeCell ref="B51:F51"/>
    <mergeCell ref="G48:I48"/>
    <mergeCell ref="B23:I24"/>
    <mergeCell ref="G116:I116"/>
  </mergeCells>
  <printOptions horizontalCentered="1"/>
  <pageMargins left="0.7" right="0.7" top="0.75" bottom="0.75" header="0" footer="0"/>
  <pageSetup orientation="portrait" fitToHeight="0" pageOrder="overThenDown" cellComments="atEn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2026-08-21T07:50:34Z</dcterms:created>
  <dcterms:modified xmlns:dcterms="http://purl.org/dc/terms/" xmlns:xsi="http://www.w3.org/2001/XMLSchema-instance" xsi:type="dcterms:W3CDTF">2026-08-21T07:50:35Z</dcterms:modified>
  <cp:lastModifiedBy>Sukijung Jeffrey</cp:lastModifiedBy>
</cp:coreProperties>
</file>