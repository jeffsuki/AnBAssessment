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ffs\Downloads\"/>
    </mc:Choice>
  </mc:AlternateContent>
  <xr:revisionPtr revIDLastSave="0" documentId="13_ncr:1_{5D4046F9-6627-4882-8F67-98FA818D05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ssment Form (Completed by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7" i="1" l="1"/>
  <c r="J147" i="1" s="1"/>
  <c r="F145" i="1"/>
  <c r="J145" i="1" s="1"/>
  <c r="J144" i="1"/>
  <c r="F144" i="1"/>
  <c r="F143" i="1"/>
  <c r="J143" i="1" s="1"/>
  <c r="G138" i="1"/>
  <c r="F151" i="1" s="1"/>
  <c r="J151" i="1" s="1"/>
  <c r="G124" i="1"/>
  <c r="F150" i="1" s="1"/>
  <c r="J150" i="1" s="1"/>
  <c r="G110" i="1"/>
  <c r="F149" i="1" s="1"/>
  <c r="J149" i="1" s="1"/>
  <c r="G95" i="1"/>
  <c r="F148" i="1" s="1"/>
  <c r="J148" i="1" s="1"/>
  <c r="G86" i="1"/>
  <c r="G75" i="1"/>
  <c r="F146" i="1" s="1"/>
  <c r="J146" i="1" s="1"/>
  <c r="G63" i="1"/>
  <c r="G51" i="1"/>
  <c r="G43" i="1"/>
  <c r="G34" i="1"/>
  <c r="F142" i="1" s="1"/>
  <c r="F152" i="1" l="1"/>
  <c r="J1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tc={7bcdf96e-9e7e-430e-9569-9033c9780fc6}</author>
  </authors>
  <commentList>
    <comment ref="B129" authorId="0" shapeId="0" xr:uid="{7BCDF96E-9E7E-430E-9569-9033C9780FC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arousal level interpretasinya juga masih kurang tepat
</t>
        </r>
      </text>
    </comment>
  </commentList>
</comments>
</file>

<file path=xl/sharedStrings.xml><?xml version="1.0" encoding="utf-8"?>
<sst xmlns="http://schemas.openxmlformats.org/spreadsheetml/2006/main" count="211" uniqueCount="125">
  <si>
    <r>
      <rPr>
        <b/>
        <sz val="10"/>
        <color theme="1"/>
        <rFont val="Arial"/>
      </rPr>
      <t>Assessment Form (Completed by Assessor)</t>
    </r>
    <r>
      <rPr>
        <sz val="10"/>
        <color theme="1"/>
        <rFont val="Arial"/>
      </rPr>
      <t xml:space="preserve">
</t>
    </r>
    <r>
      <rPr>
        <i/>
        <sz val="10"/>
        <color theme="1"/>
        <rFont val="Arial"/>
      </rPr>
      <t xml:space="preserve"> Comprehensive Clinical Assessment Form </t>
    </r>
  </si>
  <si>
    <t>DATA KLIEN</t>
  </si>
  <si>
    <t>Nama anak</t>
  </si>
  <si>
    <t>Usia</t>
  </si>
  <si>
    <t>Tanggal lahir</t>
  </si>
  <si>
    <t>Jenis kelamin</t>
  </si>
  <si>
    <t>Diagnosis / Alasan rujukan</t>
  </si>
  <si>
    <t>Asesor</t>
  </si>
  <si>
    <t>Tanggal asesmen</t>
  </si>
  <si>
    <t>No Client</t>
  </si>
  <si>
    <r>
      <rPr>
        <b/>
        <sz val="10"/>
        <color theme="1"/>
        <rFont val="Arial"/>
      </rPr>
      <t xml:space="preserve">PETUNJUK ADMINISTRASI
</t>
    </r>
    <r>
      <rPr>
        <sz val="10"/>
        <color theme="1"/>
        <rFont val="Arial"/>
      </rPr>
      <t>Penilaian pada setiap item berdasarkan hasil observasi langsung, aktivitas terstruktur, dan/atau informasi yang diperoleh dari orang tua atau pengasuh utama mengenai perilaku anak dalam 2–4 minggu terakhir. Beri skor 1–5 sesuai frekuensi kemunculan perilaku yang diamati.</t>
    </r>
  </si>
  <si>
    <t>1 Selalu</t>
  </si>
  <si>
    <t>2 Sering</t>
  </si>
  <si>
    <t>3 Kadang</t>
  </si>
  <si>
    <t>4 Jarang</t>
  </si>
  <si>
    <t>5 Tidak Pernah</t>
  </si>
  <si>
    <t>BAGIAN A — ASESMEN PEMROSESAN SENSORIS (Adaptasi SSP)</t>
  </si>
  <si>
    <t>Tactile Sensitivity</t>
  </si>
  <si>
    <t>Skor:/ 35</t>
  </si>
  <si>
    <t>No</t>
  </si>
  <si>
    <t>Indikator Klinis</t>
  </si>
  <si>
    <t>Skor</t>
  </si>
  <si>
    <t>1.</t>
  </si>
  <si>
    <t>Menunjukkan defensivitas taktil terhadap atribut pakaian (label, jahitan, material tekstil tertentu)</t>
  </si>
  <si>
    <t>2.</t>
  </si>
  <si>
    <t>Menghindari atau menolak kontak fisik yang diinisiasi orang lain</t>
  </si>
  <si>
    <t>3.</t>
  </si>
  <si>
    <t>Menolak berjalan tanpa alas kaki pada permukaan tertentu (pasir, rumput, karpet bertekstur)</t>
  </si>
  <si>
    <t>4.</t>
  </si>
  <si>
    <t>Menunjukkan hipersensitivitas taktil pada area wajah dan kepala</t>
  </si>
  <si>
    <t>5.</t>
  </si>
  <si>
    <t>Bereaksi berlebihan (startle response) terhadap stimulasi taktil ringan yang tidak diantisipasi</t>
  </si>
  <si>
    <t>6.</t>
  </si>
  <si>
    <t>Menghindari kontak dengan material messy (cat, tanah, lem, pasir basah)</t>
  </si>
  <si>
    <t>7.</t>
  </si>
  <si>
    <t>Menunjukkan ketidaknyamanan terhadap pakaian baru atau yang baru dicuci</t>
  </si>
  <si>
    <t xml:space="preserve">Catatan klinis: </t>
  </si>
  <si>
    <t>Taste/Smell Sensitivity</t>
  </si>
  <si>
    <t>Skor : / 20</t>
  </si>
  <si>
    <t>Menunjukkan penolakan terhadap makanan berdasarkan karakteristik olfaktori</t>
  </si>
  <si>
    <t>Menunjukkan hipersensitivitas terhadap stimulus olfaktori lingkungan</t>
  </si>
  <si>
    <t>Menghindari makanan dengan karakteristik gustatori tertentu (rasa kuat, menyengat)</t>
  </si>
  <si>
    <t>Menunjukkan perilaku mengendus objek sebelum interaksi (mouthing atau sniffing behavior)</t>
  </si>
  <si>
    <t>Catatan klinis:</t>
  </si>
  <si>
    <t>Vestibular/Movement Sensitivity</t>
  </si>
  <si>
    <t>Skor :  / 15</t>
  </si>
  <si>
    <t>Menunjukkan gravitational insecurity atau intoleransi terhadap aktivitas yang melibatkan input vestibular</t>
  </si>
  <si>
    <t>Menunjukkan motion sickness atau hipersensitivitas terhadap stimulasi vestibular pasif</t>
  </si>
  <si>
    <t>Menunjukkan fear response berlebihan terhadap perubahan posisi kepala atau ketinggian</t>
  </si>
  <si>
    <t>Underresponsive / Seeks Sensation</t>
  </si>
  <si>
    <t>Skor :  / 35</t>
  </si>
  <si>
    <t>Menunjukkan hiporesponsivitas terhadap stimulus taktil pada area wajah dan tangan</t>
  </si>
  <si>
    <t>Menunjukkan ambang nyeri yang tinggi / hiporesponsivitas terhadap stimulus nosiseptif</t>
  </si>
  <si>
    <t>Menunjukkan perilaku sensation seeking berulang, mencari input proprioseptif intens secara persisten</t>
  </si>
  <si>
    <t>Menunjukkan body awareness yang rendah, sering menabrak orang atau benda di sekitarnya</t>
  </si>
  <si>
    <t>Menunjukkan hiporesponsivitas terhadap stimulus suhu lingkungan</t>
  </si>
  <si>
    <t>Menunjukkan preferensi terhadap stimulasi sensoris berintensitas tinggi secara konsisten</t>
  </si>
  <si>
    <t>Menunjukkan respons yang lambat atau tidak ada terhadap stimulus auditori dan taktil</t>
  </si>
  <si>
    <t>Auditory Filtering</t>
  </si>
  <si>
    <t>Skor: / 35</t>
  </si>
  <si>
    <t>Menunjukkan distraksi auditif yang mempengaruhi atensi dan performa fungsional</t>
  </si>
  <si>
    <t>Mengalami kesulitan memproses instruksi verbal di lingkungan dengan background noise</t>
  </si>
  <si>
    <t>Menunjukkan defisit auditory figure-ground, sulit memilah stimulus relevan dari noise</t>
  </si>
  <si>
    <t>Menunjukkan hiporesponsivitas terhadap stimulus auditori verbal / nama dipanggil</t>
  </si>
  <si>
    <t>Menunjukkan penurunan performa fungsional di lingkungan dengan tingkat kebisingan tinggi</t>
  </si>
  <si>
    <t>Kesulitan melakukan auditory filtering terhadap stimulus tidak relevan</t>
  </si>
  <si>
    <t>Sering meminta pengulangan instruksi verbal (echoic memory deficit)</t>
  </si>
  <si>
    <t>S6 Energi Rendah / Hipotonisitas / Low Energy / Weak</t>
  </si>
  <si>
    <t>Skor :  / 30</t>
  </si>
  <si>
    <t>Menunjukkan hipotonia umum yang berdampak pada aktivitas fungsional sehari-hari</t>
  </si>
  <si>
    <t>Menunjukkan penurunan daya tahan fisik (endurance) yang signifikan secara fungsional</t>
  </si>
  <si>
    <t>Memerlukan external support untuk mempertahankan postur duduk tegak</t>
  </si>
  <si>
    <t>Menunjukkan kompensasi bilateral pada tugas unilateral yang sesuai tahap perkembangan</t>
  </si>
  <si>
    <t>Menunjukkan kualitas gerakan yang lemah dengan effort berlebihan relatif terhadap tugas</t>
  </si>
  <si>
    <t>Menunjukkan postural instability yang konsisten saat duduk dan berdiri</t>
  </si>
  <si>
    <t>Visual/Auditory Sensitivity</t>
  </si>
  <si>
    <t>Skor :  / 20</t>
  </si>
  <si>
    <t>Menunjukkan kesulitan fungsional di lingkungan dengan tingkat stimulasi audiovisual tinggi</t>
  </si>
  <si>
    <t>Menunjukkan fotosensitivitas yang berdampak pada partisipasi dalam aktivitas</t>
  </si>
  <si>
    <t>Menunjukkan visual overresponsivity terhadap lingkungan yang kaya stimulus visual</t>
  </si>
  <si>
    <t>Menunjukkan distraksi visual signifikan terhadap gerakan di area periferal</t>
  </si>
  <si>
    <t>BAGIAN B 
 ASESMEN MOTORIK KASAR</t>
  </si>
  <si>
    <t>Gross Motor Skills</t>
  </si>
  <si>
    <t>Skor : / 35</t>
  </si>
  <si>
    <t>Menunjukkan kesulitan postural control saat duduk atau berdiri tanpa support eksternal</t>
  </si>
  <si>
    <t>Menunjukkan defisit koordinasi bilateral pada gerakan kasar (jumping jacks, melompat dua kaki)</t>
  </si>
  <si>
    <t>Menunjukkan kesulitan keseimbangan statis (berdiri satu kaki sesuai usia)</t>
  </si>
  <si>
    <t>Menunjukkan kesulitan keseimbangan dinamis (berjalan garis lurus, naik-turun tangga bergantian kaki)</t>
  </si>
  <si>
    <t>Menunjukkan defisit koordinasi mata-tangan-kaki (menendang, menangkap, melempar bola)</t>
  </si>
  <si>
    <t>Menunjukkan kesulitan motor planning pada gerakan kasar baru (meniru gerakan/urutan)</t>
  </si>
  <si>
    <t>Menunjukkan kelemahan core strength yang berdampak pada aktivitas fungsional (naik tangga, bangkit dari lantai)</t>
  </si>
  <si>
    <t>BAGIAN C
ASESMEN MOTORIK HALUS</t>
  </si>
  <si>
    <t>Fine Motor Skills</t>
  </si>
  <si>
    <t>Skor :   / 35</t>
  </si>
  <si>
    <t>Menunjukkan grasp pattern pensil yang belum sesuai tahap perkembangan usia</t>
  </si>
  <si>
    <t>Menunjukkan defisit koordinasi bilateral tangan (memegang kertas sambil menggunting)</t>
  </si>
  <si>
    <t>Menunjukkan kesulitan in-hand manipulation (meronce, memutar objek kecil di tangan)</t>
  </si>
  <si>
    <t>Menunjukkan kekuatan genggaman (grip strength) yang lemah secara fungsional</t>
  </si>
  <si>
    <t>Menunjukkan ketepatan visual-motor yang rendah (mewarnai dalam garis, menyusun puzzle)</t>
  </si>
  <si>
    <t>Menunjukkan kontrol tekanan alat tulis yang tidak sesuai (terlalu kuat/terlalu lemah)</t>
  </si>
  <si>
    <r>
      <rPr>
        <sz val="10"/>
        <color theme="1"/>
        <rFont val="Arial"/>
      </rPr>
      <t xml:space="preserve">Menunjukkan kesulitan pada </t>
    </r>
    <r>
      <rPr>
        <i/>
        <sz val="10"/>
        <color theme="1"/>
        <rFont val="Arial"/>
      </rPr>
      <t>self-care fine motor</t>
    </r>
    <r>
      <rPr>
        <sz val="10"/>
        <color theme="1"/>
        <rFont val="Arial"/>
      </rPr>
      <t xml:space="preserve"> (mengancingkan baju, menalikan sepatu, menggunakan sendok-garpu)</t>
    </r>
  </si>
  <si>
    <t>BAGIAN D
LEVEL AROUSAL &amp; REGULASI DIRI</t>
  </si>
  <si>
    <t>Arousal Level &amp; Self-Regulation</t>
  </si>
  <si>
    <t>Menunjukkan tanda over-arousal (gelisah, hiperaktif, reaktif berlebihan terhadap stimulus)</t>
  </si>
  <si>
    <t>Menunjukkan tanda under-arousal (lesu, lambat merespons, tampak mengantuk/low alert)</t>
  </si>
  <si>
    <t>Mampu kembali ke kondisi tenang (regulated) setelah aktivitas yang intens secara mandiri</t>
  </si>
  <si>
    <t>Menunjukkan transisi arousal yang tiba-tiba (dari tenang ke sangat aktif, atau sebaliknya)</t>
  </si>
  <si>
    <t>Membutuhkan bantuan eksternal signifikan untuk kembali ke kondisi tenang (high co-regulation dependency)</t>
  </si>
  <si>
    <t>Mampu mempertahankan kondisi alert optimal untuk mengikuti aktivitas terstruktur dalam durasi sesuai usia</t>
  </si>
  <si>
    <t>Menunjukkan respons fight-flight-freeze saat menghadapi stimulus sensoris yang tidak disukai</t>
  </si>
  <si>
    <t>REKAP TOTAL SKOR</t>
  </si>
  <si>
    <t>Kategori</t>
  </si>
  <si>
    <t>S1 — Sensitivitas Taktil</t>
  </si>
  <si>
    <t>S2 — Sensitivitas Gustatori &amp; Olfaktori</t>
  </si>
  <si>
    <t>S3 — Sensitivitas Vestibular / Gerakan</t>
  </si>
  <si>
    <t>S4 — Hiporesponsif / Sensation Seeking</t>
  </si>
  <si>
    <t>S5 — Filtrasi Auditori</t>
  </si>
  <si>
    <t>S6 — Energi Rendah / Hipotonisitas</t>
  </si>
  <si>
    <t>S7 — Sensitivitas Visual &amp; Auditori</t>
  </si>
  <si>
    <t>S8 — Motorik Kasar</t>
  </si>
  <si>
    <t>S9 — Motorik Halus</t>
  </si>
  <si>
    <t>S10 — Level Arousal &amp; Regulasi Diri</t>
  </si>
  <si>
    <t>TOTAL SKOR</t>
  </si>
  <si>
    <t>KESIMPULAN &amp; REKOMENDASI KLINIS</t>
  </si>
  <si>
    <t>Referensi / References:
 Dunn, W. (1999). Sensory Profile: User's manual. San Antonio, TX: Psychological Corporation.
 Bruininks, R. H., &amp; Bruininks, B. D. (2005). Bruininks-Oseretsky Test of Motor Proficiency (2nd ed.). Pearson.
 Williams, M. S., &amp; Shellenberger, S. (1996). How Does Your Engine Run? A Leader's Guide to the Alert Program for Self-Regulation. TherapyWorks.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</si>
</sst>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i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3" fillId="0" borderId="10" xfId="0" applyFont="1" applyBorder="1"/>
    <xf numFmtId="0" fontId="3" fillId="0" borderId="11" xfId="0" applyFont="1" applyBorder="1"/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13" xfId="0" applyFont="1" applyBorder="1" applyAlignment="1">
      <alignment horizontal="right" vertical="center" wrapText="1"/>
    </xf>
    <xf numFmtId="0" fontId="3" fillId="0" borderId="14" xfId="0" applyFont="1" applyBorder="1"/>
    <xf numFmtId="0" fontId="3" fillId="0" borderId="15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Dinda" id="{b17566df-5bd2-4a32-8e1c-ede70b454b19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69" dT="2026-08-19T02:59:22.00" personId="{b17566df-5bd2-4a32-8e1c-ede70b454b19}" id="{fd6cd630-262e-4b2e-90e9-ed503eb086e0}" done="0">
    <x18tc:text xml:space="preserve">Auditory filtering untuk interpretasi skornya masih kurang tepat</x18tc:text>
  </x18tc:threadedComment>
  <x18tc:threadedComment ref="B129" dT="2026-08-19T03:19:52.00" personId="{b17566df-5bd2-4a32-8e1c-ede70b454b19}" id="{7bcdf96e-9e7e-430e-9569-9033c9780fc6}" done="0">
    <x18tc:text xml:space="preserve">arousal level interpretasinya juga masih kurang tepat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15"/>
  <sheetViews>
    <sheetView tabSelected="1" topLeftCell="A135" workbookViewId="0">
      <selection activeCell="K143" sqref="K143"/>
    </sheetView>
  </sheetViews>
  <sheetFormatPr defaultColWidth="12.6328125" defaultRowHeight="15.75" customHeight="1" x14ac:dyDescent="0.25"/>
  <cols>
    <col min="3" max="3" width="14.453125" customWidth="1"/>
    <col min="10" max="10" width="19.08984375" customWidth="1"/>
  </cols>
  <sheetData>
    <row r="1" spans="1:26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 x14ac:dyDescent="0.25">
      <c r="A2" s="1"/>
      <c r="B2" s="21" t="s">
        <v>0</v>
      </c>
      <c r="C2" s="16"/>
      <c r="D2" s="16"/>
      <c r="E2" s="16"/>
      <c r="F2" s="16"/>
      <c r="G2" s="16"/>
      <c r="H2" s="16"/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5" x14ac:dyDescent="0.25">
      <c r="A3" s="1"/>
      <c r="B3" s="22"/>
      <c r="C3" s="23"/>
      <c r="D3" s="23"/>
      <c r="E3" s="23"/>
      <c r="F3" s="23"/>
      <c r="G3" s="23"/>
      <c r="H3" s="23"/>
      <c r="I3" s="2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5" x14ac:dyDescent="0.25">
      <c r="A4" s="1"/>
      <c r="B4" s="22"/>
      <c r="C4" s="23"/>
      <c r="D4" s="23"/>
      <c r="E4" s="23"/>
      <c r="F4" s="23"/>
      <c r="G4" s="23"/>
      <c r="H4" s="23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5" x14ac:dyDescent="0.25">
      <c r="A5" s="1"/>
      <c r="B5" s="25"/>
      <c r="C5" s="26"/>
      <c r="D5" s="26"/>
      <c r="E5" s="26"/>
      <c r="F5" s="26"/>
      <c r="G5" s="26"/>
      <c r="H5" s="26"/>
      <c r="I5" s="2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5" x14ac:dyDescent="0.25">
      <c r="A7" s="1"/>
      <c r="B7" s="28" t="s">
        <v>1</v>
      </c>
      <c r="C7" s="8"/>
      <c r="D7" s="8"/>
      <c r="E7" s="8"/>
      <c r="F7" s="8"/>
      <c r="G7" s="8"/>
      <c r="H7" s="8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5" x14ac:dyDescent="0.25">
      <c r="A8" s="1"/>
      <c r="B8" s="2" t="s">
        <v>2</v>
      </c>
      <c r="C8" s="29"/>
      <c r="D8" s="16"/>
      <c r="E8" s="16"/>
      <c r="F8" s="16"/>
      <c r="G8" s="16"/>
      <c r="H8" s="16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5" x14ac:dyDescent="0.25">
      <c r="A9" s="1"/>
      <c r="B9" s="2" t="s">
        <v>3</v>
      </c>
      <c r="C9" s="30"/>
      <c r="D9" s="23"/>
      <c r="E9" s="23"/>
      <c r="F9" s="23"/>
      <c r="G9" s="23"/>
      <c r="H9" s="23"/>
      <c r="I9" s="2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5" x14ac:dyDescent="0.25">
      <c r="A10" s="1"/>
      <c r="B10" s="2" t="s">
        <v>4</v>
      </c>
      <c r="C10" s="30"/>
      <c r="D10" s="23"/>
      <c r="E10" s="23"/>
      <c r="F10" s="23"/>
      <c r="G10" s="23"/>
      <c r="H10" s="23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5" x14ac:dyDescent="0.25">
      <c r="A11" s="1"/>
      <c r="B11" s="2" t="s">
        <v>5</v>
      </c>
      <c r="C11" s="30"/>
      <c r="D11" s="23"/>
      <c r="E11" s="23"/>
      <c r="F11" s="23"/>
      <c r="G11" s="23"/>
      <c r="H11" s="23"/>
      <c r="I11" s="2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x14ac:dyDescent="0.25">
      <c r="A12" s="1"/>
      <c r="B12" s="2" t="s">
        <v>6</v>
      </c>
      <c r="C12" s="30"/>
      <c r="D12" s="23"/>
      <c r="E12" s="23"/>
      <c r="F12" s="23"/>
      <c r="G12" s="23"/>
      <c r="H12" s="23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5" x14ac:dyDescent="0.25">
      <c r="A13" s="1"/>
      <c r="B13" s="2" t="s">
        <v>7</v>
      </c>
      <c r="C13" s="30"/>
      <c r="D13" s="23"/>
      <c r="E13" s="23"/>
      <c r="F13" s="23"/>
      <c r="G13" s="23"/>
      <c r="H13" s="23"/>
      <c r="I13" s="2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" x14ac:dyDescent="0.25">
      <c r="A14" s="1"/>
      <c r="B14" s="2" t="s">
        <v>8</v>
      </c>
      <c r="C14" s="30"/>
      <c r="D14" s="23"/>
      <c r="E14" s="23"/>
      <c r="F14" s="23"/>
      <c r="G14" s="23"/>
      <c r="H14" s="23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5" x14ac:dyDescent="0.25">
      <c r="A15" s="1"/>
      <c r="B15" s="2" t="s">
        <v>9</v>
      </c>
      <c r="C15" s="31"/>
      <c r="D15" s="26"/>
      <c r="E15" s="26"/>
      <c r="F15" s="26"/>
      <c r="G15" s="26"/>
      <c r="H15" s="26"/>
      <c r="I15" s="2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5" x14ac:dyDescent="0.25">
      <c r="A17" s="1"/>
      <c r="B17" s="21" t="s">
        <v>10</v>
      </c>
      <c r="C17" s="16"/>
      <c r="D17" s="16"/>
      <c r="E17" s="16"/>
      <c r="F17" s="16"/>
      <c r="G17" s="16"/>
      <c r="H17" s="16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5" x14ac:dyDescent="0.25">
      <c r="A18" s="1"/>
      <c r="B18" s="22"/>
      <c r="C18" s="23"/>
      <c r="D18" s="23"/>
      <c r="E18" s="23"/>
      <c r="F18" s="23"/>
      <c r="G18" s="23"/>
      <c r="H18" s="23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5" x14ac:dyDescent="0.25">
      <c r="A19" s="1"/>
      <c r="B19" s="22"/>
      <c r="C19" s="23"/>
      <c r="D19" s="23"/>
      <c r="E19" s="23"/>
      <c r="F19" s="23"/>
      <c r="G19" s="23"/>
      <c r="H19" s="23"/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5" x14ac:dyDescent="0.25">
      <c r="A20" s="1"/>
      <c r="B20" s="25"/>
      <c r="C20" s="26"/>
      <c r="D20" s="26"/>
      <c r="E20" s="26"/>
      <c r="F20" s="26"/>
      <c r="G20" s="26"/>
      <c r="H20" s="26"/>
      <c r="I20" s="2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" x14ac:dyDescent="0.25">
      <c r="A21" s="1"/>
      <c r="B21" s="1"/>
      <c r="C21" s="3" t="s">
        <v>11</v>
      </c>
      <c r="D21" s="3" t="s">
        <v>12</v>
      </c>
      <c r="E21" s="3" t="s">
        <v>13</v>
      </c>
      <c r="F21" s="3" t="s">
        <v>14</v>
      </c>
      <c r="G21" s="3" t="s">
        <v>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 x14ac:dyDescent="0.25">
      <c r="A23" s="1"/>
      <c r="B23" s="21" t="s">
        <v>16</v>
      </c>
      <c r="C23" s="16"/>
      <c r="D23" s="16"/>
      <c r="E23" s="16"/>
      <c r="F23" s="16"/>
      <c r="G23" s="16"/>
      <c r="H23" s="16"/>
      <c r="I23" s="1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 x14ac:dyDescent="0.25">
      <c r="A24" s="1"/>
      <c r="B24" s="25"/>
      <c r="C24" s="26"/>
      <c r="D24" s="26"/>
      <c r="E24" s="26"/>
      <c r="F24" s="26"/>
      <c r="G24" s="26"/>
      <c r="H24" s="26"/>
      <c r="I24" s="2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 x14ac:dyDescent="0.25">
      <c r="A25" s="1"/>
      <c r="B25" s="11" t="s">
        <v>17</v>
      </c>
      <c r="C25" s="8"/>
      <c r="D25" s="8"/>
      <c r="E25" s="9"/>
      <c r="F25" s="7" t="s">
        <v>18</v>
      </c>
      <c r="G25" s="8"/>
      <c r="H25" s="8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25">
      <c r="A26" s="1"/>
      <c r="B26" s="3" t="s">
        <v>19</v>
      </c>
      <c r="C26" s="11" t="s">
        <v>20</v>
      </c>
      <c r="D26" s="8"/>
      <c r="E26" s="8"/>
      <c r="F26" s="9"/>
      <c r="G26" s="13" t="s">
        <v>21</v>
      </c>
      <c r="H26" s="8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25">
      <c r="A27" s="1"/>
      <c r="B27" s="3" t="s">
        <v>22</v>
      </c>
      <c r="C27" s="7" t="s">
        <v>23</v>
      </c>
      <c r="D27" s="8"/>
      <c r="E27" s="8"/>
      <c r="F27" s="9"/>
      <c r="G27" s="10"/>
      <c r="H27" s="8"/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 x14ac:dyDescent="0.25">
      <c r="A28" s="1"/>
      <c r="B28" s="3" t="s">
        <v>24</v>
      </c>
      <c r="C28" s="7" t="s">
        <v>25</v>
      </c>
      <c r="D28" s="8"/>
      <c r="E28" s="8"/>
      <c r="F28" s="9"/>
      <c r="G28" s="10"/>
      <c r="H28" s="8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25">
      <c r="A29" s="1"/>
      <c r="B29" s="3" t="s">
        <v>26</v>
      </c>
      <c r="C29" s="7" t="s">
        <v>27</v>
      </c>
      <c r="D29" s="8"/>
      <c r="E29" s="8"/>
      <c r="F29" s="9"/>
      <c r="G29" s="10"/>
      <c r="H29" s="8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 x14ac:dyDescent="0.25">
      <c r="A30" s="1"/>
      <c r="B30" s="3" t="s">
        <v>28</v>
      </c>
      <c r="C30" s="7" t="s">
        <v>29</v>
      </c>
      <c r="D30" s="8"/>
      <c r="E30" s="8"/>
      <c r="F30" s="9"/>
      <c r="G30" s="10"/>
      <c r="H30" s="8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x14ac:dyDescent="0.25">
      <c r="A31" s="1"/>
      <c r="B31" s="3" t="s">
        <v>30</v>
      </c>
      <c r="C31" s="7" t="s">
        <v>31</v>
      </c>
      <c r="D31" s="8"/>
      <c r="E31" s="8"/>
      <c r="F31" s="9"/>
      <c r="G31" s="10"/>
      <c r="H31" s="8"/>
      <c r="I31" s="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 x14ac:dyDescent="0.25">
      <c r="A32" s="1"/>
      <c r="B32" s="3" t="s">
        <v>32</v>
      </c>
      <c r="C32" s="7" t="s">
        <v>33</v>
      </c>
      <c r="D32" s="8"/>
      <c r="E32" s="8"/>
      <c r="F32" s="9"/>
      <c r="G32" s="10"/>
      <c r="H32" s="8"/>
      <c r="I32" s="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25">
      <c r="A33" s="1"/>
      <c r="B33" s="3" t="s">
        <v>34</v>
      </c>
      <c r="C33" s="7" t="s">
        <v>35</v>
      </c>
      <c r="D33" s="8"/>
      <c r="E33" s="8"/>
      <c r="F33" s="9"/>
      <c r="G33" s="15"/>
      <c r="H33" s="16"/>
      <c r="I33" s="1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1"/>
      <c r="B34" s="11" t="s">
        <v>36</v>
      </c>
      <c r="C34" s="8"/>
      <c r="D34" s="8"/>
      <c r="E34" s="8"/>
      <c r="F34" s="8"/>
      <c r="G34" s="18">
        <f>SUM(G27:I33)</f>
        <v>0</v>
      </c>
      <c r="H34" s="19"/>
      <c r="I34" s="2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1"/>
      <c r="B37" s="11" t="s">
        <v>37</v>
      </c>
      <c r="C37" s="8"/>
      <c r="D37" s="8"/>
      <c r="E37" s="9"/>
      <c r="F37" s="7" t="s">
        <v>38</v>
      </c>
      <c r="G37" s="8"/>
      <c r="H37" s="8"/>
      <c r="I37" s="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25">
      <c r="A38" s="1"/>
      <c r="B38" s="3" t="s">
        <v>19</v>
      </c>
      <c r="C38" s="11" t="s">
        <v>20</v>
      </c>
      <c r="D38" s="8"/>
      <c r="E38" s="8"/>
      <c r="F38" s="9"/>
      <c r="G38" s="13" t="s">
        <v>21</v>
      </c>
      <c r="H38" s="8"/>
      <c r="I38" s="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 x14ac:dyDescent="0.25">
      <c r="A39" s="1"/>
      <c r="B39" s="3" t="s">
        <v>22</v>
      </c>
      <c r="C39" s="7" t="s">
        <v>39</v>
      </c>
      <c r="D39" s="8"/>
      <c r="E39" s="8"/>
      <c r="F39" s="9"/>
      <c r="G39" s="10"/>
      <c r="H39" s="8"/>
      <c r="I39" s="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 x14ac:dyDescent="0.25">
      <c r="A40" s="1"/>
      <c r="B40" s="3" t="s">
        <v>24</v>
      </c>
      <c r="C40" s="7" t="s">
        <v>40</v>
      </c>
      <c r="D40" s="8"/>
      <c r="E40" s="8"/>
      <c r="F40" s="9"/>
      <c r="G40" s="10"/>
      <c r="H40" s="8"/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 x14ac:dyDescent="0.25">
      <c r="A41" s="1"/>
      <c r="B41" s="3" t="s">
        <v>26</v>
      </c>
      <c r="C41" s="7" t="s">
        <v>41</v>
      </c>
      <c r="D41" s="8"/>
      <c r="E41" s="8"/>
      <c r="F41" s="9"/>
      <c r="G41" s="10"/>
      <c r="H41" s="8"/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 x14ac:dyDescent="0.25">
      <c r="A42" s="1"/>
      <c r="B42" s="3" t="s">
        <v>28</v>
      </c>
      <c r="C42" s="7" t="s">
        <v>42</v>
      </c>
      <c r="D42" s="8"/>
      <c r="E42" s="8"/>
      <c r="F42" s="9"/>
      <c r="G42" s="10"/>
      <c r="H42" s="8"/>
      <c r="I42" s="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/>
      <c r="B43" s="11" t="s">
        <v>43</v>
      </c>
      <c r="C43" s="8"/>
      <c r="D43" s="8"/>
      <c r="E43" s="8"/>
      <c r="F43" s="9"/>
      <c r="G43" s="12">
        <f>SUM(G39:I42)</f>
        <v>0</v>
      </c>
      <c r="H43" s="8"/>
      <c r="I43" s="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/>
      <c r="B46" s="11" t="s">
        <v>44</v>
      </c>
      <c r="C46" s="8"/>
      <c r="D46" s="8"/>
      <c r="E46" s="9"/>
      <c r="F46" s="7" t="s">
        <v>45</v>
      </c>
      <c r="G46" s="8"/>
      <c r="H46" s="8"/>
      <c r="I46" s="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25">
      <c r="A47" s="1"/>
      <c r="B47" s="3" t="s">
        <v>19</v>
      </c>
      <c r="C47" s="11" t="s">
        <v>20</v>
      </c>
      <c r="D47" s="8"/>
      <c r="E47" s="8"/>
      <c r="F47" s="9"/>
      <c r="G47" s="13" t="s">
        <v>21</v>
      </c>
      <c r="H47" s="8"/>
      <c r="I47" s="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25">
      <c r="A48" s="1"/>
      <c r="B48" s="3" t="s">
        <v>22</v>
      </c>
      <c r="C48" s="7" t="s">
        <v>46</v>
      </c>
      <c r="D48" s="8"/>
      <c r="E48" s="8"/>
      <c r="F48" s="9"/>
      <c r="G48" s="10"/>
      <c r="H48" s="8"/>
      <c r="I48" s="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25">
      <c r="A49" s="1"/>
      <c r="B49" s="3" t="s">
        <v>24</v>
      </c>
      <c r="C49" s="7" t="s">
        <v>47</v>
      </c>
      <c r="D49" s="8"/>
      <c r="E49" s="8"/>
      <c r="F49" s="9"/>
      <c r="G49" s="10"/>
      <c r="H49" s="8"/>
      <c r="I49" s="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25">
      <c r="A50" s="1"/>
      <c r="B50" s="3" t="s">
        <v>26</v>
      </c>
      <c r="C50" s="7" t="s">
        <v>48</v>
      </c>
      <c r="D50" s="8"/>
      <c r="E50" s="8"/>
      <c r="F50" s="9"/>
      <c r="G50" s="10"/>
      <c r="H50" s="8"/>
      <c r="I50" s="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/>
      <c r="B51" s="11" t="s">
        <v>43</v>
      </c>
      <c r="C51" s="8"/>
      <c r="D51" s="8"/>
      <c r="E51" s="8"/>
      <c r="F51" s="9"/>
      <c r="G51" s="14">
        <f>SUM(G48:G50)</f>
        <v>0</v>
      </c>
      <c r="H51" s="8"/>
      <c r="I51" s="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/>
      <c r="B54" s="11" t="s">
        <v>49</v>
      </c>
      <c r="C54" s="8"/>
      <c r="D54" s="8"/>
      <c r="E54" s="9"/>
      <c r="F54" s="7" t="s">
        <v>50</v>
      </c>
      <c r="G54" s="8"/>
      <c r="H54" s="8"/>
      <c r="I54" s="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25">
      <c r="A55" s="1"/>
      <c r="B55" s="3" t="s">
        <v>19</v>
      </c>
      <c r="C55" s="11" t="s">
        <v>20</v>
      </c>
      <c r="D55" s="8"/>
      <c r="E55" s="8"/>
      <c r="F55" s="9"/>
      <c r="G55" s="13" t="s">
        <v>21</v>
      </c>
      <c r="H55" s="8"/>
      <c r="I55" s="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25">
      <c r="A56" s="1"/>
      <c r="B56" s="3" t="s">
        <v>22</v>
      </c>
      <c r="C56" s="7" t="s">
        <v>51</v>
      </c>
      <c r="D56" s="8"/>
      <c r="E56" s="8"/>
      <c r="F56" s="9"/>
      <c r="G56" s="10"/>
      <c r="H56" s="8"/>
      <c r="I56" s="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25">
      <c r="A57" s="1"/>
      <c r="B57" s="3" t="s">
        <v>24</v>
      </c>
      <c r="C57" s="7" t="s">
        <v>52</v>
      </c>
      <c r="D57" s="8"/>
      <c r="E57" s="8"/>
      <c r="F57" s="9"/>
      <c r="G57" s="10"/>
      <c r="H57" s="8"/>
      <c r="I57" s="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25">
      <c r="A58" s="1"/>
      <c r="B58" s="3" t="s">
        <v>26</v>
      </c>
      <c r="C58" s="7" t="s">
        <v>53</v>
      </c>
      <c r="D58" s="8"/>
      <c r="E58" s="8"/>
      <c r="F58" s="9"/>
      <c r="G58" s="10"/>
      <c r="H58" s="8"/>
      <c r="I58" s="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25">
      <c r="A59" s="1"/>
      <c r="B59" s="3" t="s">
        <v>28</v>
      </c>
      <c r="C59" s="7" t="s">
        <v>54</v>
      </c>
      <c r="D59" s="8"/>
      <c r="E59" s="8"/>
      <c r="F59" s="9"/>
      <c r="G59" s="10"/>
      <c r="H59" s="8"/>
      <c r="I59" s="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25">
      <c r="A60" s="1"/>
      <c r="B60" s="3" t="s">
        <v>30</v>
      </c>
      <c r="C60" s="7" t="s">
        <v>55</v>
      </c>
      <c r="D60" s="8"/>
      <c r="E60" s="8"/>
      <c r="F60" s="9"/>
      <c r="G60" s="10"/>
      <c r="H60" s="8"/>
      <c r="I60" s="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25">
      <c r="A61" s="1"/>
      <c r="B61" s="3" t="s">
        <v>32</v>
      </c>
      <c r="C61" s="7" t="s">
        <v>56</v>
      </c>
      <c r="D61" s="8"/>
      <c r="E61" s="8"/>
      <c r="F61" s="9"/>
      <c r="G61" s="10"/>
      <c r="H61" s="8"/>
      <c r="I61" s="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25">
      <c r="A62" s="1"/>
      <c r="B62" s="3" t="s">
        <v>34</v>
      </c>
      <c r="C62" s="7" t="s">
        <v>57</v>
      </c>
      <c r="D62" s="8"/>
      <c r="E62" s="8"/>
      <c r="F62" s="9"/>
      <c r="G62" s="15"/>
      <c r="H62" s="16"/>
      <c r="I62" s="1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/>
      <c r="B63" s="11" t="s">
        <v>43</v>
      </c>
      <c r="C63" s="8"/>
      <c r="D63" s="8"/>
      <c r="E63" s="8"/>
      <c r="F63" s="8"/>
      <c r="G63" s="18">
        <f>SUM(G56:I62)</f>
        <v>0</v>
      </c>
      <c r="H63" s="19"/>
      <c r="I63" s="2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/>
      <c r="B66" s="11" t="s">
        <v>58</v>
      </c>
      <c r="C66" s="8"/>
      <c r="D66" s="8"/>
      <c r="E66" s="9"/>
      <c r="F66" s="7" t="s">
        <v>59</v>
      </c>
      <c r="G66" s="8"/>
      <c r="H66" s="8"/>
      <c r="I66" s="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25">
      <c r="A67" s="1"/>
      <c r="B67" s="3" t="s">
        <v>19</v>
      </c>
      <c r="C67" s="4" t="s">
        <v>20</v>
      </c>
      <c r="D67" s="3">
        <v>1</v>
      </c>
      <c r="E67" s="13">
        <v>2</v>
      </c>
      <c r="F67" s="9"/>
      <c r="G67" s="3">
        <v>3</v>
      </c>
      <c r="H67" s="3">
        <v>4</v>
      </c>
      <c r="I67" s="3">
        <v>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25">
      <c r="A68" s="1"/>
      <c r="B68" s="3" t="s">
        <v>22</v>
      </c>
      <c r="C68" s="7" t="s">
        <v>60</v>
      </c>
      <c r="D68" s="8"/>
      <c r="E68" s="8"/>
      <c r="F68" s="9"/>
      <c r="G68" s="10"/>
      <c r="H68" s="8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25">
      <c r="A69" s="1"/>
      <c r="B69" s="3" t="s">
        <v>24</v>
      </c>
      <c r="C69" s="7" t="s">
        <v>61</v>
      </c>
      <c r="D69" s="8"/>
      <c r="E69" s="8"/>
      <c r="F69" s="9"/>
      <c r="G69" s="10"/>
      <c r="H69" s="8"/>
      <c r="I69" s="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25">
      <c r="A70" s="1"/>
      <c r="B70" s="3" t="s">
        <v>26</v>
      </c>
      <c r="C70" s="7" t="s">
        <v>62</v>
      </c>
      <c r="D70" s="8"/>
      <c r="E70" s="8"/>
      <c r="F70" s="9"/>
      <c r="G70" s="10"/>
      <c r="H70" s="8"/>
      <c r="I70" s="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25">
      <c r="A71" s="1"/>
      <c r="B71" s="3" t="s">
        <v>28</v>
      </c>
      <c r="C71" s="7" t="s">
        <v>63</v>
      </c>
      <c r="D71" s="8"/>
      <c r="E71" s="8"/>
      <c r="F71" s="9"/>
      <c r="G71" s="10"/>
      <c r="H71" s="8"/>
      <c r="I71" s="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25">
      <c r="A72" s="1"/>
      <c r="B72" s="3" t="s">
        <v>30</v>
      </c>
      <c r="C72" s="7" t="s">
        <v>64</v>
      </c>
      <c r="D72" s="8"/>
      <c r="E72" s="8"/>
      <c r="F72" s="9"/>
      <c r="G72" s="10"/>
      <c r="H72" s="8"/>
      <c r="I72" s="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25">
      <c r="A73" s="1"/>
      <c r="B73" s="3" t="s">
        <v>32</v>
      </c>
      <c r="C73" s="7" t="s">
        <v>65</v>
      </c>
      <c r="D73" s="8"/>
      <c r="E73" s="8"/>
      <c r="F73" s="9"/>
      <c r="G73" s="10"/>
      <c r="H73" s="8"/>
      <c r="I73" s="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25">
      <c r="A74" s="1"/>
      <c r="B74" s="3" t="s">
        <v>34</v>
      </c>
      <c r="C74" s="7" t="s">
        <v>66</v>
      </c>
      <c r="D74" s="8"/>
      <c r="E74" s="8"/>
      <c r="F74" s="9"/>
      <c r="G74" s="10"/>
      <c r="H74" s="8"/>
      <c r="I74" s="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/>
      <c r="B75" s="11" t="s">
        <v>43</v>
      </c>
      <c r="C75" s="8"/>
      <c r="D75" s="8"/>
      <c r="E75" s="8"/>
      <c r="F75" s="9"/>
      <c r="G75" s="12">
        <f>SUM(G68:I74)</f>
        <v>0</v>
      </c>
      <c r="H75" s="8"/>
      <c r="I75" s="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/>
      <c r="B78" s="11" t="s">
        <v>67</v>
      </c>
      <c r="C78" s="8"/>
      <c r="D78" s="8"/>
      <c r="E78" s="9"/>
      <c r="F78" s="7" t="s">
        <v>68</v>
      </c>
      <c r="G78" s="8"/>
      <c r="H78" s="8"/>
      <c r="I78" s="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25">
      <c r="A79" s="1"/>
      <c r="B79" s="3" t="s">
        <v>19</v>
      </c>
      <c r="C79" s="4" t="s">
        <v>20</v>
      </c>
      <c r="D79" s="3">
        <v>1</v>
      </c>
      <c r="E79" s="13">
        <v>2</v>
      </c>
      <c r="F79" s="9"/>
      <c r="G79" s="3">
        <v>3</v>
      </c>
      <c r="H79" s="3">
        <v>4</v>
      </c>
      <c r="I79" s="3">
        <v>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25">
      <c r="A80" s="1"/>
      <c r="B80" s="3" t="s">
        <v>22</v>
      </c>
      <c r="C80" s="7" t="s">
        <v>69</v>
      </c>
      <c r="D80" s="8"/>
      <c r="E80" s="8"/>
      <c r="F80" s="9"/>
      <c r="G80" s="10"/>
      <c r="H80" s="8"/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25">
      <c r="A81" s="1"/>
      <c r="B81" s="3" t="s">
        <v>24</v>
      </c>
      <c r="C81" s="7" t="s">
        <v>70</v>
      </c>
      <c r="D81" s="8"/>
      <c r="E81" s="8"/>
      <c r="F81" s="9"/>
      <c r="G81" s="10"/>
      <c r="H81" s="8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25">
      <c r="A82" s="1"/>
      <c r="B82" s="3" t="s">
        <v>26</v>
      </c>
      <c r="C82" s="7" t="s">
        <v>71</v>
      </c>
      <c r="D82" s="8"/>
      <c r="E82" s="8"/>
      <c r="F82" s="9"/>
      <c r="G82" s="10"/>
      <c r="H82" s="8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25">
      <c r="A83" s="1"/>
      <c r="B83" s="3" t="s">
        <v>28</v>
      </c>
      <c r="C83" s="7" t="s">
        <v>72</v>
      </c>
      <c r="D83" s="8"/>
      <c r="E83" s="8"/>
      <c r="F83" s="9"/>
      <c r="G83" s="10"/>
      <c r="H83" s="8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25">
      <c r="A84" s="1"/>
      <c r="B84" s="3" t="s">
        <v>30</v>
      </c>
      <c r="C84" s="7" t="s">
        <v>73</v>
      </c>
      <c r="D84" s="8"/>
      <c r="E84" s="8"/>
      <c r="F84" s="9"/>
      <c r="G84" s="10"/>
      <c r="H84" s="8"/>
      <c r="I84" s="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25">
      <c r="A85" s="1"/>
      <c r="B85" s="3" t="s">
        <v>32</v>
      </c>
      <c r="C85" s="7" t="s">
        <v>74</v>
      </c>
      <c r="D85" s="8"/>
      <c r="E85" s="8"/>
      <c r="F85" s="9"/>
      <c r="G85" s="10"/>
      <c r="H85" s="8"/>
      <c r="I85" s="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/>
      <c r="B86" s="11" t="s">
        <v>43</v>
      </c>
      <c r="C86" s="8"/>
      <c r="D86" s="8"/>
      <c r="E86" s="8"/>
      <c r="F86" s="9"/>
      <c r="G86" s="12">
        <f>SUM(G80:I85)</f>
        <v>0</v>
      </c>
      <c r="H86" s="8"/>
      <c r="I86" s="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/>
      <c r="B89" s="11" t="s">
        <v>75</v>
      </c>
      <c r="C89" s="8"/>
      <c r="D89" s="8"/>
      <c r="E89" s="9"/>
      <c r="F89" s="7" t="s">
        <v>76</v>
      </c>
      <c r="G89" s="8"/>
      <c r="H89" s="8"/>
      <c r="I89" s="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25">
      <c r="A90" s="1"/>
      <c r="B90" s="3" t="s">
        <v>19</v>
      </c>
      <c r="C90" s="11" t="s">
        <v>20</v>
      </c>
      <c r="D90" s="8"/>
      <c r="E90" s="8"/>
      <c r="F90" s="9"/>
      <c r="G90" s="13" t="s">
        <v>21</v>
      </c>
      <c r="H90" s="8"/>
      <c r="I90" s="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25">
      <c r="A91" s="1"/>
      <c r="B91" s="3" t="s">
        <v>22</v>
      </c>
      <c r="C91" s="7" t="s">
        <v>77</v>
      </c>
      <c r="D91" s="8"/>
      <c r="E91" s="8"/>
      <c r="F91" s="9"/>
      <c r="G91" s="10"/>
      <c r="H91" s="8"/>
      <c r="I91" s="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25">
      <c r="A92" s="1"/>
      <c r="B92" s="3" t="s">
        <v>24</v>
      </c>
      <c r="C92" s="7" t="s">
        <v>78</v>
      </c>
      <c r="D92" s="8"/>
      <c r="E92" s="8"/>
      <c r="F92" s="9"/>
      <c r="G92" s="10"/>
      <c r="H92" s="8"/>
      <c r="I92" s="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25">
      <c r="A93" s="1"/>
      <c r="B93" s="3" t="s">
        <v>26</v>
      </c>
      <c r="C93" s="7" t="s">
        <v>79</v>
      </c>
      <c r="D93" s="8"/>
      <c r="E93" s="8"/>
      <c r="F93" s="9"/>
      <c r="G93" s="10"/>
      <c r="H93" s="8"/>
      <c r="I93" s="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25">
      <c r="A94" s="1"/>
      <c r="B94" s="3" t="s">
        <v>28</v>
      </c>
      <c r="C94" s="7" t="s">
        <v>80</v>
      </c>
      <c r="D94" s="8"/>
      <c r="E94" s="8"/>
      <c r="F94" s="9"/>
      <c r="G94" s="10"/>
      <c r="H94" s="8"/>
      <c r="I94" s="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/>
      <c r="B95" s="11" t="s">
        <v>43</v>
      </c>
      <c r="C95" s="8"/>
      <c r="D95" s="8"/>
      <c r="E95" s="8"/>
      <c r="F95" s="9"/>
      <c r="G95" s="14">
        <f>SUM(G91:I94)</f>
        <v>0</v>
      </c>
      <c r="H95" s="8"/>
      <c r="I95" s="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/>
      <c r="B98" s="21" t="s">
        <v>81</v>
      </c>
      <c r="C98" s="16"/>
      <c r="D98" s="16"/>
      <c r="E98" s="16"/>
      <c r="F98" s="16"/>
      <c r="G98" s="16"/>
      <c r="H98" s="16"/>
      <c r="I98" s="1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/>
      <c r="B99" s="25"/>
      <c r="C99" s="26"/>
      <c r="D99" s="26"/>
      <c r="E99" s="26"/>
      <c r="F99" s="26"/>
      <c r="G99" s="26"/>
      <c r="H99" s="26"/>
      <c r="I99" s="2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/>
      <c r="B101" s="11" t="s">
        <v>82</v>
      </c>
      <c r="C101" s="8"/>
      <c r="D101" s="8"/>
      <c r="E101" s="9"/>
      <c r="F101" s="7" t="s">
        <v>83</v>
      </c>
      <c r="G101" s="8"/>
      <c r="H101" s="8"/>
      <c r="I101" s="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25">
      <c r="A102" s="1"/>
      <c r="B102" s="3" t="s">
        <v>19</v>
      </c>
      <c r="C102" s="11" t="s">
        <v>20</v>
      </c>
      <c r="D102" s="8"/>
      <c r="E102" s="8"/>
      <c r="F102" s="9"/>
      <c r="G102" s="13" t="s">
        <v>21</v>
      </c>
      <c r="H102" s="8"/>
      <c r="I102" s="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25">
      <c r="A103" s="1"/>
      <c r="B103" s="3" t="s">
        <v>22</v>
      </c>
      <c r="C103" s="7" t="s">
        <v>84</v>
      </c>
      <c r="D103" s="8"/>
      <c r="E103" s="8"/>
      <c r="F103" s="9"/>
      <c r="G103" s="10"/>
      <c r="H103" s="8"/>
      <c r="I103" s="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25">
      <c r="A104" s="1"/>
      <c r="B104" s="3" t="s">
        <v>24</v>
      </c>
      <c r="C104" s="7" t="s">
        <v>85</v>
      </c>
      <c r="D104" s="8"/>
      <c r="E104" s="8"/>
      <c r="F104" s="9"/>
      <c r="G104" s="10"/>
      <c r="H104" s="8"/>
      <c r="I104" s="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25">
      <c r="A105" s="1"/>
      <c r="B105" s="3" t="s">
        <v>26</v>
      </c>
      <c r="C105" s="7" t="s">
        <v>86</v>
      </c>
      <c r="D105" s="8"/>
      <c r="E105" s="8"/>
      <c r="F105" s="9"/>
      <c r="G105" s="10"/>
      <c r="H105" s="8"/>
      <c r="I105" s="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25">
      <c r="A106" s="1"/>
      <c r="B106" s="3" t="s">
        <v>28</v>
      </c>
      <c r="C106" s="7" t="s">
        <v>87</v>
      </c>
      <c r="D106" s="8"/>
      <c r="E106" s="8"/>
      <c r="F106" s="9"/>
      <c r="G106" s="10"/>
      <c r="H106" s="8"/>
      <c r="I106" s="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25">
      <c r="A107" s="1"/>
      <c r="B107" s="3" t="s">
        <v>30</v>
      </c>
      <c r="C107" s="7" t="s">
        <v>88</v>
      </c>
      <c r="D107" s="8"/>
      <c r="E107" s="8"/>
      <c r="F107" s="9"/>
      <c r="G107" s="10"/>
      <c r="H107" s="8"/>
      <c r="I107" s="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25">
      <c r="A108" s="1"/>
      <c r="B108" s="3" t="s">
        <v>32</v>
      </c>
      <c r="C108" s="7" t="s">
        <v>89</v>
      </c>
      <c r="D108" s="8"/>
      <c r="E108" s="8"/>
      <c r="F108" s="9"/>
      <c r="G108" s="10"/>
      <c r="H108" s="8"/>
      <c r="I108" s="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25">
      <c r="A109" s="1"/>
      <c r="B109" s="5" t="s">
        <v>34</v>
      </c>
      <c r="C109" s="29" t="s">
        <v>90</v>
      </c>
      <c r="D109" s="16"/>
      <c r="E109" s="16"/>
      <c r="F109" s="17"/>
      <c r="G109" s="10"/>
      <c r="H109" s="8"/>
      <c r="I109" s="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/>
      <c r="B110" s="32" t="s">
        <v>43</v>
      </c>
      <c r="C110" s="19"/>
      <c r="D110" s="19"/>
      <c r="E110" s="19"/>
      <c r="F110" s="20"/>
      <c r="G110" s="12">
        <f>SUM(G103:I109)</f>
        <v>0</v>
      </c>
      <c r="H110" s="8"/>
      <c r="I110" s="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/>
      <c r="B113" s="13" t="s">
        <v>91</v>
      </c>
      <c r="C113" s="8"/>
      <c r="D113" s="8"/>
      <c r="E113" s="8"/>
      <c r="F113" s="8"/>
      <c r="G113" s="8"/>
      <c r="H113" s="8"/>
      <c r="I113" s="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/>
      <c r="B115" s="11" t="s">
        <v>92</v>
      </c>
      <c r="C115" s="8"/>
      <c r="D115" s="8"/>
      <c r="E115" s="9"/>
      <c r="F115" s="7" t="s">
        <v>93</v>
      </c>
      <c r="G115" s="8"/>
      <c r="H115" s="8"/>
      <c r="I115" s="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25">
      <c r="A116" s="1"/>
      <c r="B116" s="3" t="s">
        <v>19</v>
      </c>
      <c r="C116" s="11" t="s">
        <v>20</v>
      </c>
      <c r="D116" s="8"/>
      <c r="E116" s="8"/>
      <c r="F116" s="9"/>
      <c r="G116" s="13" t="s">
        <v>21</v>
      </c>
      <c r="H116" s="8"/>
      <c r="I116" s="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25">
      <c r="A117" s="1"/>
      <c r="B117" s="3" t="s">
        <v>22</v>
      </c>
      <c r="C117" s="7" t="s">
        <v>94</v>
      </c>
      <c r="D117" s="8"/>
      <c r="E117" s="8"/>
      <c r="F117" s="9"/>
      <c r="G117" s="10"/>
      <c r="H117" s="8"/>
      <c r="I117" s="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25">
      <c r="A118" s="1"/>
      <c r="B118" s="3" t="s">
        <v>24</v>
      </c>
      <c r="C118" s="7" t="s">
        <v>95</v>
      </c>
      <c r="D118" s="8"/>
      <c r="E118" s="8"/>
      <c r="F118" s="9"/>
      <c r="G118" s="10"/>
      <c r="H118" s="8"/>
      <c r="I118" s="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25">
      <c r="A119" s="1"/>
      <c r="B119" s="3" t="s">
        <v>26</v>
      </c>
      <c r="C119" s="7" t="s">
        <v>96</v>
      </c>
      <c r="D119" s="8"/>
      <c r="E119" s="8"/>
      <c r="F119" s="9"/>
      <c r="G119" s="10"/>
      <c r="H119" s="8"/>
      <c r="I119" s="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25">
      <c r="A120" s="1"/>
      <c r="B120" s="3" t="s">
        <v>28</v>
      </c>
      <c r="C120" s="7" t="s">
        <v>97</v>
      </c>
      <c r="D120" s="8"/>
      <c r="E120" s="8"/>
      <c r="F120" s="9"/>
      <c r="G120" s="10"/>
      <c r="H120" s="8"/>
      <c r="I120" s="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25">
      <c r="A121" s="1"/>
      <c r="B121" s="3" t="s">
        <v>30</v>
      </c>
      <c r="C121" s="7" t="s">
        <v>98</v>
      </c>
      <c r="D121" s="8"/>
      <c r="E121" s="8"/>
      <c r="F121" s="9"/>
      <c r="G121" s="10"/>
      <c r="H121" s="8"/>
      <c r="I121" s="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25">
      <c r="A122" s="1"/>
      <c r="B122" s="3" t="s">
        <v>32</v>
      </c>
      <c r="C122" s="7" t="s">
        <v>99</v>
      </c>
      <c r="D122" s="8"/>
      <c r="E122" s="8"/>
      <c r="F122" s="9"/>
      <c r="G122" s="10"/>
      <c r="H122" s="8"/>
      <c r="I122" s="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25">
      <c r="A123" s="1"/>
      <c r="B123" s="3" t="s">
        <v>34</v>
      </c>
      <c r="C123" s="7" t="s">
        <v>100</v>
      </c>
      <c r="D123" s="8"/>
      <c r="E123" s="8"/>
      <c r="F123" s="9"/>
      <c r="G123" s="10"/>
      <c r="H123" s="8"/>
      <c r="I123" s="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/>
      <c r="B124" s="11" t="s">
        <v>43</v>
      </c>
      <c r="C124" s="8"/>
      <c r="D124" s="8"/>
      <c r="E124" s="8"/>
      <c r="F124" s="8"/>
      <c r="G124" s="14">
        <f>SUM(G117:I123)</f>
        <v>0</v>
      </c>
      <c r="H124" s="8"/>
      <c r="I124" s="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/>
      <c r="B127" s="13" t="s">
        <v>101</v>
      </c>
      <c r="C127" s="8"/>
      <c r="D127" s="8"/>
      <c r="E127" s="8"/>
      <c r="F127" s="8"/>
      <c r="G127" s="8"/>
      <c r="H127" s="8"/>
      <c r="I127" s="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/>
      <c r="B129" s="36" t="s">
        <v>102</v>
      </c>
      <c r="C129" s="8"/>
      <c r="D129" s="8"/>
      <c r="E129" s="9"/>
      <c r="F129" s="7" t="s">
        <v>50</v>
      </c>
      <c r="G129" s="8"/>
      <c r="H129" s="8"/>
      <c r="I129" s="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25">
      <c r="A130" s="1"/>
      <c r="B130" s="3" t="s">
        <v>19</v>
      </c>
      <c r="C130" s="11" t="s">
        <v>20</v>
      </c>
      <c r="D130" s="8"/>
      <c r="E130" s="8"/>
      <c r="F130" s="9"/>
      <c r="G130" s="13" t="s">
        <v>21</v>
      </c>
      <c r="H130" s="8"/>
      <c r="I130" s="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25">
      <c r="A131" s="1"/>
      <c r="B131" s="3" t="s">
        <v>22</v>
      </c>
      <c r="C131" s="7" t="s">
        <v>103</v>
      </c>
      <c r="D131" s="8"/>
      <c r="E131" s="8"/>
      <c r="F131" s="9"/>
      <c r="G131" s="10"/>
      <c r="H131" s="8"/>
      <c r="I131" s="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25">
      <c r="A132" s="1"/>
      <c r="B132" s="3" t="s">
        <v>24</v>
      </c>
      <c r="C132" s="7" t="s">
        <v>104</v>
      </c>
      <c r="D132" s="8"/>
      <c r="E132" s="8"/>
      <c r="F132" s="9"/>
      <c r="G132" s="10"/>
      <c r="H132" s="8"/>
      <c r="I132" s="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25">
      <c r="A133" s="1"/>
      <c r="B133" s="3" t="s">
        <v>26</v>
      </c>
      <c r="C133" s="7" t="s">
        <v>105</v>
      </c>
      <c r="D133" s="8"/>
      <c r="E133" s="8"/>
      <c r="F133" s="9"/>
      <c r="G133" s="10"/>
      <c r="H133" s="8"/>
      <c r="I133" s="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25">
      <c r="A134" s="1"/>
      <c r="B134" s="3" t="s">
        <v>28</v>
      </c>
      <c r="C134" s="7" t="s">
        <v>106</v>
      </c>
      <c r="D134" s="8"/>
      <c r="E134" s="8"/>
      <c r="F134" s="9"/>
      <c r="G134" s="10"/>
      <c r="H134" s="8"/>
      <c r="I134" s="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25">
      <c r="A135" s="1"/>
      <c r="B135" s="3" t="s">
        <v>30</v>
      </c>
      <c r="C135" s="7" t="s">
        <v>107</v>
      </c>
      <c r="D135" s="8"/>
      <c r="E135" s="8"/>
      <c r="F135" s="9"/>
      <c r="G135" s="10"/>
      <c r="H135" s="8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25">
      <c r="A136" s="1"/>
      <c r="B136" s="3" t="s">
        <v>32</v>
      </c>
      <c r="C136" s="7" t="s">
        <v>108</v>
      </c>
      <c r="D136" s="8"/>
      <c r="E136" s="8"/>
      <c r="F136" s="9"/>
      <c r="G136" s="10"/>
      <c r="H136" s="8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25">
      <c r="A137" s="1"/>
      <c r="B137" s="3" t="s">
        <v>34</v>
      </c>
      <c r="C137" s="7" t="s">
        <v>109</v>
      </c>
      <c r="D137" s="8"/>
      <c r="E137" s="8"/>
      <c r="F137" s="9"/>
      <c r="G137" s="10"/>
      <c r="H137" s="8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/>
      <c r="B138" s="11" t="s">
        <v>43</v>
      </c>
      <c r="C138" s="8"/>
      <c r="D138" s="8"/>
      <c r="E138" s="8"/>
      <c r="F138" s="8"/>
      <c r="G138" s="14">
        <f>SUM(G131:I137)</f>
        <v>0</v>
      </c>
      <c r="H138" s="8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25">
      <c r="A141" s="1"/>
      <c r="B141" s="13" t="s">
        <v>110</v>
      </c>
      <c r="C141" s="8"/>
      <c r="D141" s="8"/>
      <c r="E141" s="8"/>
      <c r="F141" s="8"/>
      <c r="G141" s="8"/>
      <c r="H141" s="8"/>
      <c r="I141" s="9"/>
      <c r="J141" s="3" t="s">
        <v>111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" customHeight="1" x14ac:dyDescent="0.25">
      <c r="A142" s="1"/>
      <c r="B142" s="33" t="s">
        <v>112</v>
      </c>
      <c r="C142" s="8"/>
      <c r="D142" s="8"/>
      <c r="E142" s="9"/>
      <c r="F142" s="10">
        <f>(G34)</f>
        <v>0</v>
      </c>
      <c r="G142" s="8"/>
      <c r="H142" s="8"/>
      <c r="I142" s="9"/>
      <c r="J142" s="6" t="str">
        <f>IF(F142&gt;=16,"🟢 Tipikal",IF(F142&gt;=23,"🟡 Kemungkinan",IF(F142&lt;=22,"🔴 Definitif")))</f>
        <v>🔴 Definitif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0" customHeight="1" x14ac:dyDescent="0.25">
      <c r="A143" s="1"/>
      <c r="B143" s="33" t="s">
        <v>113</v>
      </c>
      <c r="C143" s="8"/>
      <c r="D143" s="8"/>
      <c r="E143" s="9"/>
      <c r="F143" s="10">
        <f>SUM(G43)</f>
        <v>0</v>
      </c>
      <c r="G143" s="8"/>
      <c r="H143" s="8"/>
      <c r="I143" s="9"/>
      <c r="J143" s="6" t="str">
        <f>IF(F143&gt;=16,"🟢 Tipikal",IF(F143&gt;11,"🟡 Kemungkinan",IF(F143&lt;=10,"🔴 Definitif")))</f>
        <v>🔴 Definitif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0" customHeight="1" x14ac:dyDescent="0.25">
      <c r="A144" s="1"/>
      <c r="B144" s="33" t="s">
        <v>114</v>
      </c>
      <c r="C144" s="8"/>
      <c r="D144" s="8"/>
      <c r="E144" s="9"/>
      <c r="F144" s="10">
        <f>SUM(G51)</f>
        <v>0</v>
      </c>
      <c r="G144" s="8"/>
      <c r="H144" s="8"/>
      <c r="I144" s="9"/>
      <c r="J144" s="6" t="str">
        <f>IF(I2&gt;=11,"🟢 Tipikal",IF(I2&gt;8-10,"🟡 Kemungkinan",IF(I2&lt;=7,"🔴 Definitif")))</f>
        <v>🟡 Kemungkinan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0" customHeight="1" x14ac:dyDescent="0.25">
      <c r="A145" s="1"/>
      <c r="B145" s="34" t="s">
        <v>115</v>
      </c>
      <c r="C145" s="8"/>
      <c r="D145" s="8"/>
      <c r="E145" s="9"/>
      <c r="F145" s="10">
        <f>SUM(G63)</f>
        <v>0</v>
      </c>
      <c r="G145" s="8"/>
      <c r="H145" s="8"/>
      <c r="I145" s="9"/>
      <c r="J145" s="6" t="str">
        <f>IF(F145&gt;=27,"🟢 Tipikal",IF(F145&gt;=20-26,"🟡 Kemungkinan",IF(F145&lt;=19,"🔴 Definitif")))</f>
        <v>🟡 Kemungkinan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0" customHeight="1" x14ac:dyDescent="0.25">
      <c r="A146" s="1"/>
      <c r="B146" s="35" t="s">
        <v>116</v>
      </c>
      <c r="C146" s="8"/>
      <c r="D146" s="8"/>
      <c r="E146" s="9"/>
      <c r="F146" s="10">
        <f>SUM(G75)</f>
        <v>0</v>
      </c>
      <c r="G146" s="8"/>
      <c r="H146" s="8"/>
      <c r="I146" s="9"/>
      <c r="J146" s="6" t="str">
        <f>IF(F146&gt;=26,"🟢 Tipikal",IF(F146&gt;=21-25,"🟡 Kemungkinan",IF(F146&lt;=20,"🔴 Definitif")))</f>
        <v>🟡 Kemungkinan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 x14ac:dyDescent="0.25">
      <c r="A147" s="1"/>
      <c r="B147" s="33" t="s">
        <v>117</v>
      </c>
      <c r="C147" s="8"/>
      <c r="D147" s="8"/>
      <c r="E147" s="9"/>
      <c r="F147" s="10">
        <f>SUM(G86)</f>
        <v>0</v>
      </c>
      <c r="G147" s="8"/>
      <c r="H147" s="8"/>
      <c r="I147" s="9"/>
      <c r="J147" s="6" t="str">
        <f>IF(F147&gt;=24,"🟢 Tipikal",IF(F147&gt;18,"🟡 Kemungkinan",IF(F147&lt;=17,"🔴 Definitif")))</f>
        <v>🔴 Definitif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 x14ac:dyDescent="0.25">
      <c r="A148" s="1"/>
      <c r="B148" s="34" t="s">
        <v>118</v>
      </c>
      <c r="C148" s="8"/>
      <c r="D148" s="8"/>
      <c r="E148" s="9"/>
      <c r="F148" s="10">
        <f>SUM(G95)</f>
        <v>0</v>
      </c>
      <c r="G148" s="8"/>
      <c r="H148" s="8"/>
      <c r="I148" s="9"/>
      <c r="J148" s="6" t="str">
        <f>IF(F148&gt;=16,"🟢 Tipikal",IF(F148&gt;=11,"🟡 Kemungkinan",IF(F148&lt;=10,"🔴 Definitif")))</f>
        <v>🔴 Definitif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 x14ac:dyDescent="0.25">
      <c r="A149" s="1"/>
      <c r="B149" s="35" t="s">
        <v>119</v>
      </c>
      <c r="C149" s="8"/>
      <c r="D149" s="8"/>
      <c r="E149" s="9"/>
      <c r="F149" s="10">
        <f>SUM(G110)</f>
        <v>0</v>
      </c>
      <c r="G149" s="8"/>
      <c r="H149" s="8"/>
      <c r="I149" s="9"/>
      <c r="J149" s="6" t="str">
        <f t="shared" ref="J149:J151" si="0">IF(F149&gt;=28,"🟢 Tipikal",IF(F149&gt;=21-27,"🟡 Kemungkinan",IF(F149&lt;=20,"🔴 Definitif")))</f>
        <v>🟡 Kemungkinan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" customHeight="1" x14ac:dyDescent="0.25">
      <c r="A150" s="1"/>
      <c r="B150" s="35" t="s">
        <v>120</v>
      </c>
      <c r="C150" s="8"/>
      <c r="D150" s="8"/>
      <c r="E150" s="9"/>
      <c r="F150" s="10">
        <f>SUM(G124)</f>
        <v>0</v>
      </c>
      <c r="G150" s="8"/>
      <c r="H150" s="8"/>
      <c r="I150" s="9"/>
      <c r="J150" s="6" t="str">
        <f t="shared" si="0"/>
        <v>🟡 Kemungkinan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0" customHeight="1" x14ac:dyDescent="0.25">
      <c r="A151" s="1"/>
      <c r="B151" s="33" t="s">
        <v>121</v>
      </c>
      <c r="C151" s="8"/>
      <c r="D151" s="8"/>
      <c r="E151" s="9"/>
      <c r="F151" s="10">
        <f>SUM(G138)</f>
        <v>0</v>
      </c>
      <c r="G151" s="8"/>
      <c r="H151" s="8"/>
      <c r="I151" s="9"/>
      <c r="J151" s="6" t="str">
        <f t="shared" si="0"/>
        <v>🟡 Kemungkinan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/>
      <c r="B152" s="11" t="s">
        <v>122</v>
      </c>
      <c r="C152" s="8"/>
      <c r="D152" s="8"/>
      <c r="E152" s="9"/>
      <c r="F152" s="13">
        <f>SUM(F142:I151)</f>
        <v>0</v>
      </c>
      <c r="G152" s="8"/>
      <c r="H152" s="8"/>
      <c r="I152" s="8"/>
      <c r="J152" s="9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/>
      <c r="B154" s="13" t="s">
        <v>123</v>
      </c>
      <c r="C154" s="8"/>
      <c r="D154" s="8"/>
      <c r="E154" s="8"/>
      <c r="F154" s="8"/>
      <c r="G154" s="8"/>
      <c r="H154" s="8"/>
      <c r="I154" s="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/>
      <c r="B155" s="29"/>
      <c r="C155" s="16"/>
      <c r="D155" s="16"/>
      <c r="E155" s="16"/>
      <c r="F155" s="16"/>
      <c r="G155" s="16"/>
      <c r="H155" s="16"/>
      <c r="I155" s="1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/>
      <c r="B156" s="22"/>
      <c r="C156" s="23"/>
      <c r="D156" s="23"/>
      <c r="E156" s="23"/>
      <c r="F156" s="23"/>
      <c r="G156" s="23"/>
      <c r="H156" s="23"/>
      <c r="I156" s="2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/>
      <c r="B157" s="25"/>
      <c r="C157" s="26"/>
      <c r="D157" s="26"/>
      <c r="E157" s="26"/>
      <c r="F157" s="26"/>
      <c r="G157" s="26"/>
      <c r="H157" s="26"/>
      <c r="I157" s="2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/>
      <c r="B159" s="37" t="s">
        <v>124</v>
      </c>
      <c r="C159" s="23"/>
      <c r="D159" s="23"/>
      <c r="E159" s="23"/>
      <c r="F159" s="23"/>
      <c r="G159" s="23"/>
      <c r="H159" s="23"/>
      <c r="I159" s="2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217">
    <mergeCell ref="B154:I154"/>
    <mergeCell ref="B155:I157"/>
    <mergeCell ref="B159:I159"/>
    <mergeCell ref="G136:I136"/>
    <mergeCell ref="C137:F137"/>
    <mergeCell ref="G137:I137"/>
    <mergeCell ref="B147:E147"/>
    <mergeCell ref="B148:E148"/>
    <mergeCell ref="B149:E149"/>
    <mergeCell ref="B150:E150"/>
    <mergeCell ref="B151:E151"/>
    <mergeCell ref="B152:E152"/>
    <mergeCell ref="F148:I148"/>
    <mergeCell ref="F149:I149"/>
    <mergeCell ref="F150:I150"/>
    <mergeCell ref="F151:I151"/>
    <mergeCell ref="F152:J152"/>
    <mergeCell ref="B144:E144"/>
    <mergeCell ref="F144:I144"/>
    <mergeCell ref="B145:E145"/>
    <mergeCell ref="F145:I145"/>
    <mergeCell ref="B146:E146"/>
    <mergeCell ref="F146:I146"/>
    <mergeCell ref="F147:I147"/>
    <mergeCell ref="C117:F117"/>
    <mergeCell ref="G117:I117"/>
    <mergeCell ref="C118:F118"/>
    <mergeCell ref="G118:I118"/>
    <mergeCell ref="C119:F119"/>
    <mergeCell ref="G119:I119"/>
    <mergeCell ref="G120:I120"/>
    <mergeCell ref="C120:F120"/>
    <mergeCell ref="C121:F121"/>
    <mergeCell ref="G121:I121"/>
    <mergeCell ref="C122:F122"/>
    <mergeCell ref="G122:I122"/>
    <mergeCell ref="C123:F123"/>
    <mergeCell ref="G123:I123"/>
    <mergeCell ref="B124:F124"/>
    <mergeCell ref="G124:I124"/>
    <mergeCell ref="B127:I127"/>
    <mergeCell ref="C116:F116"/>
    <mergeCell ref="G116:I116"/>
    <mergeCell ref="B138:F138"/>
    <mergeCell ref="G138:I138"/>
    <mergeCell ref="B141:I141"/>
    <mergeCell ref="B142:E142"/>
    <mergeCell ref="F142:I142"/>
    <mergeCell ref="B143:E143"/>
    <mergeCell ref="F143:I143"/>
    <mergeCell ref="B129:E129"/>
    <mergeCell ref="F129:I129"/>
    <mergeCell ref="C130:F130"/>
    <mergeCell ref="G130:I130"/>
    <mergeCell ref="C131:F131"/>
    <mergeCell ref="G131:I131"/>
    <mergeCell ref="C132:F132"/>
    <mergeCell ref="G132:I132"/>
    <mergeCell ref="C133:F133"/>
    <mergeCell ref="G133:I133"/>
    <mergeCell ref="G134:I134"/>
    <mergeCell ref="C134:F134"/>
    <mergeCell ref="C135:F135"/>
    <mergeCell ref="G135:I135"/>
    <mergeCell ref="C136:F136"/>
    <mergeCell ref="B101:E101"/>
    <mergeCell ref="F101:I101"/>
    <mergeCell ref="C102:F102"/>
    <mergeCell ref="G102:I102"/>
    <mergeCell ref="B110:F110"/>
    <mergeCell ref="G110:I110"/>
    <mergeCell ref="B113:I113"/>
    <mergeCell ref="B115:E115"/>
    <mergeCell ref="F115:I115"/>
    <mergeCell ref="C92:F92"/>
    <mergeCell ref="G92:I92"/>
    <mergeCell ref="C93:F93"/>
    <mergeCell ref="G93:I93"/>
    <mergeCell ref="C94:F94"/>
    <mergeCell ref="G94:I94"/>
    <mergeCell ref="B95:F95"/>
    <mergeCell ref="G95:I95"/>
    <mergeCell ref="B98:I99"/>
    <mergeCell ref="G85:I85"/>
    <mergeCell ref="B86:F86"/>
    <mergeCell ref="G86:I86"/>
    <mergeCell ref="B89:E89"/>
    <mergeCell ref="F89:I89"/>
    <mergeCell ref="C90:F90"/>
    <mergeCell ref="G90:I90"/>
    <mergeCell ref="G91:I91"/>
    <mergeCell ref="C91:F91"/>
    <mergeCell ref="C108:F108"/>
    <mergeCell ref="G108:I108"/>
    <mergeCell ref="C109:F109"/>
    <mergeCell ref="G109:I109"/>
    <mergeCell ref="C73:F73"/>
    <mergeCell ref="G73:I73"/>
    <mergeCell ref="C74:F74"/>
    <mergeCell ref="G74:I74"/>
    <mergeCell ref="B75:F75"/>
    <mergeCell ref="G75:I75"/>
    <mergeCell ref="B78:E78"/>
    <mergeCell ref="F78:I78"/>
    <mergeCell ref="E79:F79"/>
    <mergeCell ref="C80:F80"/>
    <mergeCell ref="G80:I80"/>
    <mergeCell ref="C81:F81"/>
    <mergeCell ref="G81:I81"/>
    <mergeCell ref="G82:I82"/>
    <mergeCell ref="C82:F82"/>
    <mergeCell ref="C83:F83"/>
    <mergeCell ref="G83:I83"/>
    <mergeCell ref="C84:F84"/>
    <mergeCell ref="G84:I84"/>
    <mergeCell ref="C85:F85"/>
    <mergeCell ref="C103:F103"/>
    <mergeCell ref="G103:I103"/>
    <mergeCell ref="C104:F104"/>
    <mergeCell ref="G104:I104"/>
    <mergeCell ref="C105:F105"/>
    <mergeCell ref="G105:I105"/>
    <mergeCell ref="G106:I106"/>
    <mergeCell ref="C106:F106"/>
    <mergeCell ref="C107:F107"/>
    <mergeCell ref="G107:I107"/>
    <mergeCell ref="C41:F41"/>
    <mergeCell ref="G41:I41"/>
    <mergeCell ref="C69:F69"/>
    <mergeCell ref="C70:F70"/>
    <mergeCell ref="G70:I70"/>
    <mergeCell ref="C71:F71"/>
    <mergeCell ref="G71:I71"/>
    <mergeCell ref="C72:F72"/>
    <mergeCell ref="G72:I72"/>
    <mergeCell ref="B34:F34"/>
    <mergeCell ref="G34:I34"/>
    <mergeCell ref="B37:E37"/>
    <mergeCell ref="F37:I37"/>
    <mergeCell ref="G38:I38"/>
    <mergeCell ref="C38:F38"/>
    <mergeCell ref="C39:F39"/>
    <mergeCell ref="G39:I39"/>
    <mergeCell ref="C40:F40"/>
    <mergeCell ref="G40:I40"/>
    <mergeCell ref="C29:F29"/>
    <mergeCell ref="C30:F30"/>
    <mergeCell ref="G30:I30"/>
    <mergeCell ref="C31:F31"/>
    <mergeCell ref="G31:I31"/>
    <mergeCell ref="C32:F32"/>
    <mergeCell ref="G32:I32"/>
    <mergeCell ref="C33:F33"/>
    <mergeCell ref="G33:I33"/>
    <mergeCell ref="C68:F68"/>
    <mergeCell ref="G68:I68"/>
    <mergeCell ref="G69:I69"/>
    <mergeCell ref="B2:I5"/>
    <mergeCell ref="B7:I7"/>
    <mergeCell ref="C8:I8"/>
    <mergeCell ref="C9:I9"/>
    <mergeCell ref="C10:I10"/>
    <mergeCell ref="C11:I11"/>
    <mergeCell ref="C12:I12"/>
    <mergeCell ref="C13:I13"/>
    <mergeCell ref="C14:I14"/>
    <mergeCell ref="C15:I15"/>
    <mergeCell ref="B17:I20"/>
    <mergeCell ref="B23:I24"/>
    <mergeCell ref="B25:E25"/>
    <mergeCell ref="F25:I25"/>
    <mergeCell ref="C26:F26"/>
    <mergeCell ref="G26:I26"/>
    <mergeCell ref="C27:F27"/>
    <mergeCell ref="G27:I27"/>
    <mergeCell ref="C28:F28"/>
    <mergeCell ref="G28:I28"/>
    <mergeCell ref="G29:I29"/>
    <mergeCell ref="C61:F61"/>
    <mergeCell ref="G61:I61"/>
    <mergeCell ref="C62:F62"/>
    <mergeCell ref="G62:I62"/>
    <mergeCell ref="G63:I63"/>
    <mergeCell ref="B63:F63"/>
    <mergeCell ref="B66:E66"/>
    <mergeCell ref="F66:I66"/>
    <mergeCell ref="E67:F67"/>
    <mergeCell ref="G56:I56"/>
    <mergeCell ref="C56:F56"/>
    <mergeCell ref="C57:F57"/>
    <mergeCell ref="G57:I57"/>
    <mergeCell ref="C58:F58"/>
    <mergeCell ref="G58:I58"/>
    <mergeCell ref="C59:F59"/>
    <mergeCell ref="G59:I59"/>
    <mergeCell ref="C60:F60"/>
    <mergeCell ref="G60:I60"/>
    <mergeCell ref="C49:F49"/>
    <mergeCell ref="G49:I49"/>
    <mergeCell ref="C50:F50"/>
    <mergeCell ref="G50:I50"/>
    <mergeCell ref="B51:F51"/>
    <mergeCell ref="G51:I51"/>
    <mergeCell ref="B54:E54"/>
    <mergeCell ref="F54:I54"/>
    <mergeCell ref="C55:F55"/>
    <mergeCell ref="G55:I55"/>
    <mergeCell ref="C42:F42"/>
    <mergeCell ref="G42:I42"/>
    <mergeCell ref="B43:F43"/>
    <mergeCell ref="G43:I43"/>
    <mergeCell ref="B46:E46"/>
    <mergeCell ref="F46:I46"/>
    <mergeCell ref="G47:I47"/>
    <mergeCell ref="C47:F47"/>
    <mergeCell ref="C48:F48"/>
    <mergeCell ref="G48:I48"/>
  </mergeCells>
  <dataValidations count="1">
    <dataValidation type="list" allowBlank="1" showErrorMessage="1" sqref="G27:G33 G39:G42 G48:G50 G56:G62 G68:G74 G80:G85 G91:G94 G103:G109 G117:G123 G131:G137" xr:uid="{00000000-0002-0000-0000-000000000000}">
      <formula1>"1,2,3,4,5"</formula1>
    </dataValidation>
  </dataValidations>
  <printOptions horizontalCentered="1"/>
  <pageMargins left="0.7" right="0.7" top="0.75" bottom="0.75" header="0" footer="0"/>
  <pageSetup fitToHeight="0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Form (Completed by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Sukijung Jeffrey</cp:lastModifiedBy>
  <dcterms:modified xsi:type="dcterms:W3CDTF">2026-08-21T04:45:11Z</dcterms:modified>
</cp:coreProperties>
</file>